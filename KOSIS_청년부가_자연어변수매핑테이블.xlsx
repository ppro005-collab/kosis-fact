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자연어→표번호매핑" sheetId="1" state="visible" r:id="rId1"/>
    <sheet xmlns:r="http://schemas.openxmlformats.org/officeDocument/2006/relationships" name="2_변수명→자연어역매핑" sheetId="2" state="visible" r:id="rId2"/>
    <sheet xmlns:r="http://schemas.openxmlformats.org/officeDocument/2006/relationships" name="3_코드값자연어사전" sheetId="3" state="visible" r:id="rId3"/>
    <sheet xmlns:r="http://schemas.openxmlformats.org/officeDocument/2006/relationships" name="4_연령그룹&amp;분모빠른참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2E86C1"/>
      <sz val="10"/>
    </font>
    <font>
      <name val="맑은 고딕"/>
      <color rgb="00000000"/>
      <sz val="9"/>
    </font>
    <font>
      <name val="맑은 고딕"/>
      <b val="1"/>
      <color rgb="001F4E79"/>
      <sz val="10"/>
    </font>
    <font>
      <name val="맑은 고딕"/>
      <color rgb="00856404"/>
      <sz val="9"/>
    </font>
    <font>
      <name val="맑은 고딕"/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30" customWidth="1" min="4" max="4"/>
    <col width="28" customWidth="1" min="5" max="5"/>
    <col width="38" customWidth="1" min="6" max="6"/>
    <col width="14" customWidth="1" min="7" max="7"/>
    <col width="38" customWidth="1" min="8" max="8"/>
  </cols>
  <sheetData>
    <row r="1" ht="28" customHeight="1">
      <c r="A1" s="1" t="inlineStr">
        <is>
          <t>KOSIS 청년층 부가조사 | 자연어 키워드 → 표번호 매핑 테이블 (2025년 5월)</t>
        </is>
      </c>
    </row>
    <row r="2" ht="22" customHeight="1">
      <c r="A2" s="2" t="inlineStr">
        <is>
          <t>표번호</t>
        </is>
      </c>
      <c r="B2" s="2" t="inlineStr">
        <is>
          <t>표 제목</t>
        </is>
      </c>
      <c r="C2" s="2" t="inlineStr">
        <is>
          <t>주요 자연어 키워드</t>
        </is>
      </c>
      <c r="D2" s="2" t="inlineStr">
        <is>
          <t>유사어·속어·오타 키워드</t>
        </is>
      </c>
      <c r="E2" s="2" t="inlineStr">
        <is>
          <t>분석 대상(분모)</t>
        </is>
      </c>
      <c r="F2" s="2" t="inlineStr">
        <is>
          <t>핵심 변수명</t>
        </is>
      </c>
      <c r="G2" s="2" t="inlineStr">
        <is>
          <t>단위</t>
        </is>
      </c>
      <c r="H2" s="2" t="inlineStr">
        <is>
          <t>주의사항</t>
        </is>
      </c>
    </row>
    <row r="3" ht="18" customHeight="1">
      <c r="A3" s="3" t="inlineStr">
        <is>
          <t>A. 기초 현황 및 취업 구조 (표01~04)</t>
        </is>
      </c>
    </row>
    <row r="4" ht="55" customHeight="1">
      <c r="A4" s="4" t="inlineStr">
        <is>
          <t>표01</t>
        </is>
      </c>
      <c r="B4" s="5" t="inlineStr">
        <is>
          <t>연령별 수학 여부</t>
        </is>
      </c>
      <c r="C4" s="5" t="inlineStr">
        <is>
          <t>수학여부, 졸업, 중퇴, 재학, 휴학, 무학, 청년층인구, 연령별인구</t>
        </is>
      </c>
      <c r="D4" s="5" t="inlineStr">
        <is>
          <t>학교다니는지, 다니고있는지, 졸업자수, 재학생수</t>
        </is>
      </c>
      <c r="E4" s="5" t="inlineStr">
        <is>
          <t>15~29세(또는 20~34세) 전체 청년층</t>
        </is>
      </c>
      <c r="F4" s="5" t="inlineStr">
        <is>
          <t>교육정도_수학구분코드
만연령
가중값</t>
        </is>
      </c>
      <c r="G4" s="5" t="inlineStr">
        <is>
          <t>천명 (정수)</t>
        </is>
      </c>
      <c r="H4" s="6" t="inlineStr">
        <is>
          <t>수료(코드5)를 졸업/중퇴에 반드시 포함</t>
        </is>
      </c>
    </row>
    <row r="5" ht="55" customHeight="1">
      <c r="A5" s="4" t="inlineStr">
        <is>
          <t>표02</t>
        </is>
      </c>
      <c r="B5" s="5" t="inlineStr">
        <is>
          <t>연령별 경제활동 상태</t>
        </is>
      </c>
      <c r="C5" s="5" t="inlineStr">
        <is>
          <t>고용률, 취업률, 실업률, 취업자수, 실업자수, 비경활, 경제활동참가율</t>
        </is>
      </c>
      <c r="D5" s="5" t="inlineStr">
        <is>
          <t>취업했나, 일하는사람, 놀고있는사람, 구직중, 백수</t>
        </is>
      </c>
      <c r="E5" s="5" t="inlineStr">
        <is>
          <t>15~29세(또는 20~34세) 전체 청년층</t>
        </is>
      </c>
      <c r="F5" s="5" t="inlineStr">
        <is>
          <t>경제활동상태코드 (1=취업/2=실업/3=비경활)
만연령
가중값</t>
        </is>
      </c>
      <c r="G5" s="5" t="inlineStr">
        <is>
          <t>천명·%</t>
        </is>
      </c>
      <c r="H5" s="5" t="inlineStr">
        <is>
          <t>비율은 반올림 전 원시 가중합으로 계산</t>
        </is>
      </c>
    </row>
    <row r="6" ht="55" customHeight="1">
      <c r="A6" s="4" t="inlineStr">
        <is>
          <t>표03</t>
        </is>
      </c>
      <c r="B6" s="5" t="inlineStr">
        <is>
          <t>졸업·중퇴 취업자 산업별 분포</t>
        </is>
      </c>
      <c r="C6" s="5" t="inlineStr">
        <is>
          <t>산업별, 제조업, 보건복지, 정보통신, 도소매, 숙박음식, 건설, 금융, 교육서비스, 공공행정</t>
        </is>
      </c>
      <c r="D6" s="5" t="inlineStr">
        <is>
          <t>어느업종, 어디서 일해, 산업분포, IT업종</t>
        </is>
      </c>
      <c r="E6" s="5" t="inlineStr">
        <is>
          <t>졸업·중퇴 청년 취업자
(수학구분 IN(1,3,5) + 취업자)</t>
        </is>
      </c>
      <c r="F6" s="5" t="inlineStr">
        <is>
          <t>현재일관련사항_11차산업대분류코드
경제활동상태코드=1
가중값</t>
        </is>
      </c>
      <c r="G6" s="5" t="inlineStr">
        <is>
          <t>천명 (정수)</t>
        </is>
      </c>
      <c r="H6" s="5" t="inlineStr">
        <is>
          <t>산업코드는 문자형(A~U). '0'(문자)은 비취업자</t>
        </is>
      </c>
    </row>
    <row r="7" ht="55" customHeight="1">
      <c r="A7" s="4" t="inlineStr">
        <is>
          <t>표04</t>
        </is>
      </c>
      <c r="B7" s="5" t="inlineStr">
        <is>
          <t>졸업·중퇴 취업자 직업별 분포</t>
        </is>
      </c>
      <c r="C7" s="5" t="inlineStr">
        <is>
          <t>직업별, 관리자, 전문가, 사무직, 서비스직, 단순노무, 기능원, 판매</t>
        </is>
      </c>
      <c r="D7" s="5" t="inlineStr">
        <is>
          <t>어떤직업, 직종별, 무슨일해</t>
        </is>
      </c>
      <c r="E7" s="5" t="inlineStr">
        <is>
          <t>졸업·중퇴 청년 취업자
(수학구분 IN(1,3) + 취업자)</t>
        </is>
      </c>
      <c r="F7" s="5" t="inlineStr">
        <is>
          <t>현재일관련사항_8차직업대분류코드
경제활동상태코드=1
가중값</t>
        </is>
      </c>
      <c r="G7" s="5" t="inlineStr">
        <is>
          <t>천명 (정수)</t>
        </is>
      </c>
      <c r="H7" s="5" t="inlineStr">
        <is>
          <t>이 표만 수료(코드5) 제외(IN(1,3)). 관리자+전문가 코드1+2 합산</t>
        </is>
      </c>
    </row>
    <row r="8" ht="18" customHeight="1">
      <c r="A8" s="7" t="inlineStr">
        <is>
          <t>B. 학업 이력 및 직업훈련·직장체험 (표05~10)</t>
        </is>
      </c>
    </row>
    <row r="9" ht="55" customHeight="1">
      <c r="A9" s="8" t="inlineStr">
        <is>
          <t>표05</t>
        </is>
      </c>
      <c r="B9" s="5" t="inlineStr">
        <is>
          <t>성·학제별 대학 졸업 소요기간</t>
        </is>
      </c>
      <c r="C9" s="5" t="inlineStr">
        <is>
          <t>졸업소요기간, 졸업까지기간, 전문대, 4년제, 대학졸업개월, 평균졸업기간, 편입</t>
        </is>
      </c>
      <c r="D9" s="5" t="inlineStr">
        <is>
          <t>대학 몇년만에 졸업, 군복무 영향, 남녀 졸업기간 차이</t>
        </is>
      </c>
      <c r="E9" s="5" t="inlineStr">
        <is>
          <t>전문대·4년제 졸업자
(학력코드 IN(4,5) + 수학구분=1)</t>
        </is>
      </c>
      <c r="F9" s="5" t="inlineStr">
        <is>
          <t>가장최근학교_입학및편입연월
가장최근학교_졸업및중퇴연월
가장최근학교_편입경험유무
교육정도_학력구분코드</t>
        </is>
      </c>
      <c r="G9" s="5" t="inlineStr">
        <is>
          <t>개월 (가중평균)</t>
        </is>
      </c>
      <c r="H9" s="5" t="inlineStr">
        <is>
          <t>편입자는 편입전학교입학연월 기준으로 보정 필수</t>
        </is>
      </c>
    </row>
    <row r="10" ht="55" customHeight="1">
      <c r="A10" s="8" t="inlineStr">
        <is>
          <t>표06</t>
        </is>
      </c>
      <c r="B10" s="5" t="inlineStr">
        <is>
          <t>성별 휴학 경험·사유·평균기간</t>
        </is>
      </c>
      <c r="C10" s="5" t="inlineStr">
        <is>
          <t>휴학, 휴학경험, 휴학사유, 병역, 군대, 어학연수, 학비마련, 인턴, 평균휴학기간</t>
        </is>
      </c>
      <c r="D10" s="5" t="inlineStr">
        <is>
          <t>군입대휴학, 취업준비휴학, 얼마나쉬었나</t>
        </is>
      </c>
      <c r="E10" s="5" t="inlineStr">
        <is>
          <t>대학 졸업자
(학력코드 IN(4,5) + 수학구분=1)</t>
        </is>
      </c>
      <c r="F10" s="5" t="inlineStr">
        <is>
          <t>가장최근학교_휴학경험유무
가장최근학교_휴학사유1코드
가장최근학교_휴학사유2코드
가장최근학교_휴학기간년수·월수</t>
        </is>
      </c>
      <c r="G10" s="5" t="inlineStr">
        <is>
          <t>천명·개월</t>
        </is>
      </c>
      <c r="H10" s="6" t="inlineStr">
        <is>
          <t>복수응답: 사유1+사유2 단순합(중복 포함). 합집합(OR) 금지</t>
        </is>
      </c>
    </row>
    <row r="11" ht="55" customHeight="1">
      <c r="A11" s="8" t="inlineStr">
        <is>
          <t>표07</t>
        </is>
      </c>
      <c r="B11" s="5" t="inlineStr">
        <is>
          <t>성별 직장체험 유무·기간</t>
        </is>
      </c>
      <c r="C11" s="5" t="inlineStr">
        <is>
          <t>직장체험, 인턴, 체험유무, 체험기간, 아르바이트경험, 현장실습</t>
        </is>
      </c>
      <c r="D11" s="5" t="inlineStr">
        <is>
          <t>일해본적있나, 직장경험, 취업경험재학중</t>
        </is>
      </c>
      <c r="E11" s="5" t="inlineStr">
        <is>
          <t>15~29세 청년층 전체
(연령 조건만, 수학구분 무관)</t>
        </is>
      </c>
      <c r="F11" s="5" t="inlineStr">
        <is>
          <t>직업교육및직장체험_재학휴학중직장체험여부
직업교육및직장체험_재학휴학중직장체험기간코드</t>
        </is>
      </c>
      <c r="G11" s="5" t="inlineStr">
        <is>
          <t>천명 (정수)</t>
        </is>
      </c>
      <c r="H11" s="5" t="inlineStr">
        <is>
          <t>기간코드 합산: 1개월미만=코드1+2, 6개월이상=코드5+6</t>
        </is>
      </c>
    </row>
    <row r="12" ht="55" customHeight="1">
      <c r="A12" s="8" t="inlineStr">
        <is>
          <t>표08</t>
        </is>
      </c>
      <c r="B12" s="5" t="inlineStr">
        <is>
          <t>성별 직장체험 형태</t>
        </is>
      </c>
      <c r="C12" s="5" t="inlineStr">
        <is>
          <t>직장체험형태, 시간제취업, 전일제취업, 기업인턴, 현장실습, 정부지원프로그램</t>
        </is>
      </c>
      <c r="D12" s="5" t="inlineStr">
        <is>
          <t>알바형태, 어떤인턴, 체험방식</t>
        </is>
      </c>
      <c r="E12" s="5" t="inlineStr">
        <is>
          <t>직장체험 경험자
(체험여부=1)</t>
        </is>
      </c>
      <c r="F12" s="5" t="inlineStr">
        <is>
          <t>직업교육및직장체험_직장체험주요형태코드</t>
        </is>
      </c>
      <c r="G12" s="5" t="inlineStr">
        <is>
          <t>천명 (정수)</t>
        </is>
      </c>
      <c r="H12" s="5" t="inlineStr">
        <is>
          <t>분모가 표07(전체)과 다름. 단일응답 변수</t>
        </is>
      </c>
    </row>
    <row r="13" ht="55" customHeight="1">
      <c r="A13" s="8" t="inlineStr">
        <is>
          <t>표09</t>
        </is>
      </c>
      <c r="B13" s="5" t="inlineStr">
        <is>
          <t>성별 직업교육·훈련 경험·시기</t>
        </is>
      </c>
      <c r="C13" s="5" t="inlineStr">
        <is>
          <t>직업훈련, 직업교육, 훈련경험, 재학중훈련, 졸업후훈련</t>
        </is>
      </c>
      <c r="D13" s="5" t="inlineStr">
        <is>
          <t>취업교육받았나, 직훈, 국비훈련</t>
        </is>
      </c>
      <c r="E13" s="5" t="inlineStr">
        <is>
          <t>15~29세 청년층 전체</t>
        </is>
      </c>
      <c r="F13" s="5" t="inlineStr">
        <is>
          <t>직업교육및직장체험_직업교육수혜구분코드</t>
        </is>
      </c>
      <c r="G13" s="5" t="inlineStr">
        <is>
          <t>천명 (정수)</t>
        </is>
      </c>
      <c r="H13" s="6" t="inlineStr">
        <is>
          <t>경험있음=코드 IN(2,3,4). 코드4(재학+졸업후 모두) 반드시 포함</t>
        </is>
      </c>
    </row>
    <row r="14" ht="55" customHeight="1">
      <c r="A14" s="8" t="inlineStr">
        <is>
          <t>표10</t>
        </is>
      </c>
      <c r="B14" s="5" t="inlineStr">
        <is>
          <t>성별 직업훈련 기관</t>
        </is>
      </c>
      <c r="C14" s="5" t="inlineStr">
        <is>
          <t>훈련기관, 사설학원, 공공훈련기관, 직업능력개발, 대학훈련</t>
        </is>
      </c>
      <c r="D14" s="5" t="inlineStr">
        <is>
          <t>어디서 훈련받았나, 학원다녔나</t>
        </is>
      </c>
      <c r="E14" s="5" t="inlineStr">
        <is>
          <t>직업훈련 유경험자
(수혜구분 IN(2,3,4))</t>
        </is>
      </c>
      <c r="F14" s="5" t="inlineStr">
        <is>
          <t>직업교육수혜구분코드(분모만)
★기관코드 변수 미제공</t>
        </is>
      </c>
      <c r="G14" s="5" t="inlineStr">
        <is>
          <t>천명 (정수)</t>
        </is>
      </c>
      <c r="H14" s="6" t="inlineStr">
        <is>
          <t>⚠️ 기관코드 변수 MDIS 미제공. 기관별 집계 불가. KOSIS 공표값 사용 권장</t>
        </is>
      </c>
    </row>
    <row r="15" ht="18" customHeight="1">
      <c r="A15" s="9" t="inlineStr">
        <is>
          <t>C. 첫 취업 진입 (표11~16)</t>
        </is>
      </c>
    </row>
    <row r="16" ht="55" customHeight="1">
      <c r="A16" s="10" t="inlineStr">
        <is>
          <t>표11</t>
        </is>
      </c>
      <c r="B16" s="5" t="inlineStr">
        <is>
          <t>성별 취업경험 유무·횟수</t>
        </is>
      </c>
      <c r="C16" s="5" t="inlineStr">
        <is>
          <t>취업경험, 취업횟수, 이직횟수, 취업경험률, 한번두번세번, 몇번취업</t>
        </is>
      </c>
      <c r="D16" s="5" t="inlineStr">
        <is>
          <t>일해본적, 취업해봤나, 직장경험횟수</t>
        </is>
      </c>
      <c r="E16" s="5" t="inlineStr">
        <is>
          <t>졸업·중퇴 인구
(수학구분 IN(1,3,5) + 졸업연월&gt;0)</t>
        </is>
      </c>
      <c r="F16" s="5" t="inlineStr">
        <is>
          <t>졸업및중퇴후취업횟수코드
(1=없음/2=한번/3=두번/4=세번/5=네번이상)</t>
        </is>
      </c>
      <c r="G16" s="5" t="inlineStr">
        <is>
          <t>천명 (정수)</t>
        </is>
      </c>
      <c r="H16" s="5" t="inlineStr">
        <is>
          <t>수료(코드5) 포함 필수</t>
        </is>
      </c>
    </row>
    <row r="17" ht="55" customHeight="1">
      <c r="A17" s="10" t="inlineStr">
        <is>
          <t>표12</t>
        </is>
      </c>
      <c r="B17" s="5" t="inlineStr">
        <is>
          <t>성별·학력별 취업경로</t>
        </is>
      </c>
      <c r="C17" s="5" t="inlineStr">
        <is>
          <t>취업경로, 어떻게취업, 공개시험, 신문인터넷응모, 가족친지소개, 특별채용, 학교추천, 고졸, 대졸</t>
        </is>
      </c>
      <c r="D17" s="5" t="inlineStr">
        <is>
          <t>어떻게 일자리 구했나, 채용방식, 취업방법</t>
        </is>
      </c>
      <c r="E17" s="5" t="inlineStr">
        <is>
          <t>졸업·중퇴 취업유경험자
(수학구분 IN(1,3,5) + 취업횟수 IN(2~5))</t>
        </is>
      </c>
      <c r="F17" s="5" t="inlineStr">
        <is>
          <t>최근직장_취업경로코드
교육정도컨버젼코드 (학력구분용)</t>
        </is>
      </c>
      <c r="G17" s="5" t="inlineStr">
        <is>
          <t>천명 (정수)</t>
        </is>
      </c>
      <c r="H17" s="5" t="inlineStr">
        <is>
          <t>학력구분: 교육정도컨버젼코드 사용(학력구분코드 아님). 코드09는 '그 외'에 포함</t>
        </is>
      </c>
    </row>
    <row r="18" ht="55" customHeight="1">
      <c r="A18" s="10" t="inlineStr">
        <is>
          <t>표13</t>
        </is>
      </c>
      <c r="B18" s="5" t="inlineStr">
        <is>
          <t>성별 첫취업 소요기간·평균</t>
        </is>
      </c>
      <c r="C18" s="5" t="inlineStr">
        <is>
          <t>첫취업소요기간, 취업까지기간, 졸업후취업, 평균소요기간, 얼마만에취업</t>
        </is>
      </c>
      <c r="D18" s="5" t="inlineStr">
        <is>
          <t>취업까지 몇달, 졸업하고 언제취업, 구직기간</t>
        </is>
      </c>
      <c r="E18" s="5" t="inlineStr">
        <is>
          <t>졸업·중퇴 취업유경험자</t>
        </is>
      </c>
      <c r="F18" s="5" t="inlineStr">
        <is>
          <t>첫직장취업연월
가장최근학교_졸업및중퇴연월
현재일관련사항_직장시작연월 (대체용)
첫직장_취업당시고용형태코드</t>
        </is>
      </c>
      <c r="G18" s="5" t="inlineStr">
        <is>
          <t>천명·개월</t>
        </is>
      </c>
      <c r="H18" s="5" t="inlineStr">
        <is>
          <t>첫직장취업연월=0이면 현재직장시작연월로 대체. 임금근로자 2-track 판별</t>
        </is>
      </c>
    </row>
    <row r="19" ht="55" customHeight="1">
      <c r="A19" s="10" t="inlineStr">
        <is>
          <t>표14</t>
        </is>
      </c>
      <c r="B19" s="5" t="inlineStr">
        <is>
          <t>첫직장 근속기간</t>
        </is>
      </c>
      <c r="C19" s="5" t="inlineStr">
        <is>
          <t>근속기간, 첫직장근속, 첫직장얼마나, 이직전근속, 현직장근속</t>
        </is>
      </c>
      <c r="D19" s="5" t="inlineStr">
        <is>
          <t>첫직장 몇달다녔나, 얼마나버텼나, 이직까지기간</t>
        </is>
      </c>
      <c r="E19" s="5" t="inlineStr">
        <is>
          <t>졸업·중퇴 취업유경험자</t>
        </is>
      </c>
      <c r="F19" s="5" t="inlineStr">
        <is>
          <t>첫직장이직연월
첫직장취업연월
현재일관련사항_직장시작연월
졸업및중퇴후취업횟수코드</t>
        </is>
      </c>
      <c r="G19" s="5" t="inlineStr">
        <is>
          <t>천명·개월</t>
        </is>
      </c>
      <c r="H19" s="6" t="inlineStr">
        <is>
          <t>현직장=첫직장 판별: 취업횟수=2 AND 경활=1 (이직연월=0 조건 금지)</t>
        </is>
      </c>
    </row>
    <row r="20" ht="55" customHeight="1">
      <c r="A20" s="10" t="inlineStr">
        <is>
          <t>표15</t>
        </is>
      </c>
      <c r="B20" s="5" t="inlineStr">
        <is>
          <t>성별 첫일자리 산업</t>
        </is>
      </c>
      <c r="C20" s="5" t="inlineStr">
        <is>
          <t>첫일자리산업, 첫직장업종, 처음취업산업, 숙박음식점, 제조업, 보건복지</t>
        </is>
      </c>
      <c r="D20" s="5" t="inlineStr">
        <is>
          <t>처음 어디서 일했나, 첫직장업종, 첫직장분야</t>
        </is>
      </c>
      <c r="E20" s="5" t="inlineStr">
        <is>
          <t>졸업·중퇴 취업유경험자</t>
        </is>
      </c>
      <c r="F20" s="5" t="inlineStr">
        <is>
          <t>첫직장업종코드
현재일관련사항_11차산업대분류코드 (대체용)</t>
        </is>
      </c>
      <c r="G20" s="5" t="inlineStr">
        <is>
          <t>천명 소수점1자리</t>
        </is>
      </c>
      <c r="H20" s="5" t="inlineStr">
        <is>
          <t>이 표만 소수점1자리. 업종코드=0이면 현재산업코드로 대체</t>
        </is>
      </c>
    </row>
    <row r="21" ht="55" customHeight="1">
      <c r="A21" s="10" t="inlineStr">
        <is>
          <t>표16</t>
        </is>
      </c>
      <c r="B21" s="5" t="inlineStr">
        <is>
          <t>성별 첫일자리 직업</t>
        </is>
      </c>
      <c r="C21" s="5" t="inlineStr">
        <is>
          <t>첫일자리직업, 첫직장직업, 관리자전문가, 서비스직, 사무직, 단순노무</t>
        </is>
      </c>
      <c r="D21" s="5" t="inlineStr">
        <is>
          <t>처음 무슨일 했나, 첫직장직종</t>
        </is>
      </c>
      <c r="E21" s="5" t="inlineStr">
        <is>
          <t>졸업·중퇴 취업유경험자</t>
        </is>
      </c>
      <c r="F21" s="5" t="inlineStr">
        <is>
          <t>첫직장_근로형태코드 (★실제는 직업코드)
현재일관련사항_8차직업대분류코드 (대체용)</t>
        </is>
      </c>
      <c r="G21" s="5" t="inlineStr">
        <is>
          <t>천명 (정수)</t>
        </is>
      </c>
      <c r="H21" s="6" t="inlineStr">
        <is>
          <t>⚠️ 변수명이 '근로형태코드'이나 실제 직업코드(1~9). 관리자+전문가 코드1+2 합산</t>
        </is>
      </c>
    </row>
    <row r="22" ht="18" customHeight="1">
      <c r="A22" s="11" t="inlineStr">
        <is>
          <t>D. 첫일자리 특성 및 미취업 (표17~23)</t>
        </is>
      </c>
    </row>
    <row r="23" ht="55" customHeight="1">
      <c r="A23" s="12" t="inlineStr">
        <is>
          <t>표17</t>
        </is>
      </c>
      <c r="B23" s="5" t="inlineStr">
        <is>
          <t>성별 첫일자리 근로형태</t>
        </is>
      </c>
      <c r="C23" s="5" t="inlineStr">
        <is>
          <t>근로형태, 기간제, 비기간제, 전일제, 시간제, 계약기간, 자영업, 계속근무</t>
        </is>
      </c>
      <c r="D23" s="5" t="inlineStr">
        <is>
          <t>정규직이었나, 알바였나, 계약직비율, 기간제비율</t>
        </is>
      </c>
      <c r="E23" s="5" t="inlineStr">
        <is>
          <t>졸업·중퇴 취업유경험자</t>
        </is>
      </c>
      <c r="F23" s="5" t="inlineStr">
        <is>
          <t>첫직장_취업당시고용형태코드
첫직장_임금근로자_전일제시간제여부
현재일관련사항_고용계약기간정함여부</t>
        </is>
      </c>
      <c r="G23" s="5" t="inlineStr">
        <is>
          <t>천명 (정수)</t>
        </is>
      </c>
      <c r="H23" s="5" t="inlineStr">
        <is>
          <t>코드=0이면 현재 고용계약 변수로 대체</t>
        </is>
      </c>
    </row>
    <row r="24" ht="55" customHeight="1">
      <c r="A24" s="12" t="inlineStr">
        <is>
          <t>표18</t>
        </is>
      </c>
      <c r="B24" s="5" t="inlineStr">
        <is>
          <t>성별 첫일자리 월평균임금</t>
        </is>
      </c>
      <c r="C24" s="5" t="inlineStr">
        <is>
          <t>월평균임금, 첫직장임금, 임금분포, 200만원, 300만원이상, 첫봉급</t>
        </is>
      </c>
      <c r="D24" s="5" t="inlineStr">
        <is>
          <t>첫직장 얼마받았나, 초봉, 신입연봉, 임금구간</t>
        </is>
      </c>
      <c r="E24" s="5" t="inlineStr">
        <is>
          <t>졸업·중퇴 취업유경험자</t>
        </is>
      </c>
      <c r="F24" s="5" t="inlineStr">
        <is>
          <t>첫직장_월평균급여액
(1=50미만~8=500이상)</t>
        </is>
      </c>
      <c r="G24" s="5" t="inlineStr">
        <is>
          <t>천명 (정수)</t>
        </is>
      </c>
      <c r="H24" s="6" t="inlineStr">
        <is>
          <t>고용형태 필터 금지. 급여액&gt;0 전체 대상. 300만원이상=코드6+7+8</t>
        </is>
      </c>
    </row>
    <row r="25" ht="55" customHeight="1">
      <c r="A25" s="12" t="inlineStr">
        <is>
          <t>표19</t>
        </is>
      </c>
      <c r="B25" s="5" t="inlineStr">
        <is>
          <t>성별 첫일자리 그만둔 사유</t>
        </is>
      </c>
      <c r="C25" s="5" t="inlineStr">
        <is>
          <t>퇴직사유, 이직사유, 근로여건불만족, 계약기간, 직장폐업, 개인가족이유, 전망없어서</t>
        </is>
      </c>
      <c r="D25" s="5" t="inlineStr">
        <is>
          <t>왜그만뒀나, 첫직장 왜뒀나, 퇴사이유</t>
        </is>
      </c>
      <c r="E25" s="5" t="inlineStr">
        <is>
          <t>이직 경험자
(첫직장이직연월&gt;0)</t>
        </is>
      </c>
      <c r="F25" s="5" t="inlineStr">
        <is>
          <t>첫직장퇴직사유코드
(1~10)</t>
        </is>
      </c>
      <c r="G25" s="5" t="inlineStr">
        <is>
          <t>천명 (정수)</t>
        </is>
      </c>
      <c r="H25" s="6" t="inlineStr">
        <is>
          <t>⚠️ 코드8(권고사직)은 '그 외'에 포함. 직장폐업=코드9만</t>
        </is>
      </c>
    </row>
    <row r="26" ht="55" customHeight="1">
      <c r="A26" s="12" t="inlineStr">
        <is>
          <t>표20</t>
        </is>
      </c>
      <c r="B26" s="5" t="inlineStr">
        <is>
          <t>성별 취업시험준비 유무·분야</t>
        </is>
      </c>
      <c r="C26" s="5" t="inlineStr">
        <is>
          <t>취업시험준비, 공무원시험, 공기업, 일반기업, 교원임용, 고시, 비경활준비</t>
        </is>
      </c>
      <c r="D26" s="5" t="inlineStr">
        <is>
          <t>공시족, 공무원준비, 취준생, 시험준비중</t>
        </is>
      </c>
      <c r="E26" s="5" t="inlineStr">
        <is>
          <t>비경제활동인구
(경제활동상태=3)</t>
        </is>
      </c>
      <c r="F26" s="5" t="inlineStr">
        <is>
          <t>직업교육및직장체험_취업관련시험준비여부
직업교육및직장체험_취업관련시험준비분야코드</t>
        </is>
      </c>
      <c r="G26" s="5" t="inlineStr">
        <is>
          <t>천명 (정수)</t>
        </is>
      </c>
      <c r="H26" s="5" t="inlineStr">
        <is>
          <t>분모: 비경활(코드=3)만. 취업자·실업자 제외</t>
        </is>
      </c>
    </row>
    <row r="27" ht="55" customHeight="1">
      <c r="A27" s="12" t="inlineStr">
        <is>
          <t>표21</t>
        </is>
      </c>
      <c r="B27" s="5" t="inlineStr">
        <is>
          <t>성별 최종학교 전공일치 여부</t>
        </is>
      </c>
      <c r="C27" s="5" t="inlineStr">
        <is>
          <t>전공일치, 전공불일치, 전공관련성, 미스매치, 전공무관, 매우불일치, 약간불일치</t>
        </is>
      </c>
      <c r="D27" s="5" t="inlineStr">
        <is>
          <t>전공이랑 관련있나, 전공살렸나, 전공맞는일</t>
        </is>
      </c>
      <c r="E27" s="5" t="inlineStr">
        <is>
          <t>졸업·중퇴 취업유경험자</t>
        </is>
      </c>
      <c r="F27" s="5" t="inlineStr">
        <is>
          <t>최근직장_전공관련성코드
(1=매우불일치/2=약간불일치/3=그런대로일치/4=매우일치)</t>
        </is>
      </c>
      <c r="G27" s="5" t="inlineStr">
        <is>
          <t>천명 (정수)</t>
        </is>
      </c>
      <c r="H27" s="6" t="inlineStr">
        <is>
          <t>계(合)는 전공관련성 응답자만으로 계산 금지 → 취업유경험자 전체(3,607천명) 기준</t>
        </is>
      </c>
    </row>
    <row r="28" ht="55" customHeight="1">
      <c r="A28" s="12" t="inlineStr">
        <is>
          <t>표22</t>
        </is>
      </c>
      <c r="B28" s="5" t="inlineStr">
        <is>
          <t>성별 미취업기간별 미취업자</t>
        </is>
      </c>
      <c r="C28" s="5" t="inlineStr">
        <is>
          <t>미취업기간, 장기미취업, 6개월미만, 3년이상, 졸업후미취업</t>
        </is>
      </c>
      <c r="D28" s="5" t="inlineStr">
        <is>
          <t>얼마나 쉬었나, 백수기간, 취업안된기간</t>
        </is>
      </c>
      <c r="E28" s="5" t="inlineStr">
        <is>
          <t>미취업자
(미취업기간구분코드&gt;0)</t>
        </is>
      </c>
      <c r="F28" s="5" t="inlineStr">
        <is>
          <t>미취업_퇴직후미취업기간구분코드
(1=6개월미만~5=3년이상)</t>
        </is>
      </c>
      <c r="G28" s="5" t="inlineStr">
        <is>
          <t>천명 (정수)</t>
        </is>
      </c>
      <c r="H28" s="5" t="inlineStr">
        <is>
          <t>분모: 미취업기간구분코드&gt;0인 자만(15~29세 1,212천명)</t>
        </is>
      </c>
    </row>
    <row r="29" ht="55" customHeight="1">
      <c r="A29" s="12" t="inlineStr">
        <is>
          <t>표23</t>
        </is>
      </c>
      <c r="B29" s="5" t="inlineStr">
        <is>
          <t>성별 미취업기간 활동별 미취업자</t>
        </is>
      </c>
      <c r="C29" s="5" t="inlineStr">
        <is>
          <t>미취업활동, 취업시험준비, 쉬었음, 구직활동, 육아가사, 진학준비, 여가</t>
        </is>
      </c>
      <c r="D29" s="5" t="inlineStr">
        <is>
          <t>백수때 뭐했나, 쉬는중, 쉬면서뭐하나, 그냥쉬는사람</t>
        </is>
      </c>
      <c r="E29" s="5" t="inlineStr">
        <is>
          <t>미취업자
(미취업기간구분코드&gt;0)</t>
        </is>
      </c>
      <c r="F29" s="5" t="inlineStr">
        <is>
          <t>미취업_주요활동상태코드
(1=직업훈련/2=시험준비/3=그냥시간보냄/
4=여가/5=구직/6=육아가사/7=진학준비/8=기타)</t>
        </is>
      </c>
      <c r="G29" s="5" t="inlineStr">
        <is>
          <t>천명 (정수)</t>
        </is>
      </c>
      <c r="H29" s="5" t="inlineStr">
        <is>
          <t>코드7(진학준비)·8(기타)은 2024.5부터 신설. 이전과 직접비교 불가</t>
        </is>
      </c>
    </row>
  </sheetData>
  <mergeCells count="5">
    <mergeCell ref="A3:H3"/>
    <mergeCell ref="A15:H15"/>
    <mergeCell ref="A1:H1"/>
    <mergeCell ref="A8:H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16" customWidth="1" min="4" max="4"/>
    <col width="28" customWidth="1" min="5" max="5"/>
    <col width="42" customWidth="1" min="6" max="6"/>
    <col width="12" customWidth="1" min="7" max="7"/>
  </cols>
  <sheetData>
    <row r="1" ht="28" customHeight="1">
      <c r="A1" s="1" t="inlineStr">
        <is>
          <t>MDIS 변수명 → 자연어 의미 역방향 매핑 (AI 키워드 인식용)</t>
        </is>
      </c>
    </row>
    <row r="2" ht="22" customHeight="1">
      <c r="A2" s="2" t="inlineStr">
        <is>
          <t>변수명 (MDIS)</t>
        </is>
      </c>
      <c r="B2" s="2" t="inlineStr">
        <is>
          <t>변수 유형</t>
        </is>
      </c>
      <c r="C2" s="2" t="inlineStr">
        <is>
          <t>코드값 → 자연어 의미</t>
        </is>
      </c>
      <c r="D2" s="2" t="inlineStr">
        <is>
          <t>관련 표번호</t>
        </is>
      </c>
      <c r="E2" s="2" t="inlineStr">
        <is>
          <t>자연어 검색어</t>
        </is>
      </c>
      <c r="F2" s="2" t="inlineStr">
        <is>
          <t>집계 시 주의</t>
        </is>
      </c>
      <c r="G2" s="2" t="inlineStr">
        <is>
          <t>카테고리</t>
        </is>
      </c>
    </row>
    <row r="3" ht="60" customHeight="1">
      <c r="A3" s="13" t="inlineStr">
        <is>
          <t>가중값</t>
        </is>
      </c>
      <c r="B3" s="5" t="inlineStr">
        <is>
          <t>수치형</t>
        </is>
      </c>
      <c r="C3" s="5" t="inlineStr">
        <is>
          <t>없음 (모집단 추정 가중치)
÷1,000,000 → 천명</t>
        </is>
      </c>
      <c r="D3" s="5" t="inlineStr">
        <is>
          <t>전표 공통</t>
        </is>
      </c>
      <c r="E3" s="5" t="inlineStr">
        <is>
          <t>인구수, 규모, 몇명</t>
        </is>
      </c>
      <c r="F3" s="5" t="inlineStr">
        <is>
          <t>÷1,000,000 후 ROUND → 천명 (정수). 비율은 반올림 전 계산</t>
        </is>
      </c>
      <c r="G3" s="14" t="inlineStr">
        <is>
          <t>공통</t>
        </is>
      </c>
    </row>
    <row r="4" ht="60" customHeight="1">
      <c r="A4" s="13" t="inlineStr">
        <is>
          <t>만연령</t>
        </is>
      </c>
      <c r="B4" s="5" t="inlineStr">
        <is>
          <t>수치형</t>
        </is>
      </c>
      <c r="C4" s="5" t="inlineStr">
        <is>
          <t>15~34 (연속값)
15~29=청년층, 20~34=확장</t>
        </is>
      </c>
      <c r="D4" s="5" t="inlineStr">
        <is>
          <t>전표 공통</t>
        </is>
      </c>
      <c r="E4" s="5" t="inlineStr">
        <is>
          <t>연령별, 나이별, 15~29세, 20~34세</t>
        </is>
      </c>
      <c r="F4" s="5" t="inlineStr">
        <is>
          <t>연령 그룹: 15~19 / 20~24 / 25~29 / 20~34</t>
        </is>
      </c>
      <c r="G4" s="14" t="inlineStr">
        <is>
          <t>공통</t>
        </is>
      </c>
    </row>
    <row r="5" ht="60" customHeight="1">
      <c r="A5" s="13" t="inlineStr">
        <is>
          <t>성별코드</t>
        </is>
      </c>
      <c r="B5" s="5" t="inlineStr">
        <is>
          <t>범주형</t>
        </is>
      </c>
      <c r="C5" s="5" t="inlineStr">
        <is>
          <t>1=남자, 2=여자</t>
        </is>
      </c>
      <c r="D5" s="5" t="inlineStr">
        <is>
          <t>전표 공통</t>
        </is>
      </c>
      <c r="E5" s="5" t="inlineStr">
        <is>
          <t>남녀, 성별, 남자, 여자</t>
        </is>
      </c>
      <c r="F5" s="5" t="inlineStr">
        <is>
          <t>없음</t>
        </is>
      </c>
      <c r="G5" s="14" t="inlineStr">
        <is>
          <t>공통</t>
        </is>
      </c>
    </row>
    <row r="6" ht="60" customHeight="1">
      <c r="A6" s="13" t="inlineStr">
        <is>
          <t>교육정도_수학구분코드</t>
        </is>
      </c>
      <c r="B6" s="5" t="inlineStr">
        <is>
          <t>범주형</t>
        </is>
      </c>
      <c r="C6" s="5" t="inlineStr">
        <is>
          <t>0=무학, 1=졸업, 2=재학, 3=중퇴, 4=휴학, 5=수료</t>
        </is>
      </c>
      <c r="D6" s="5" t="inlineStr">
        <is>
          <t>표01~03,05~23</t>
        </is>
      </c>
      <c r="E6" s="5" t="inlineStr">
        <is>
          <t>졸업, 재학중, 중퇴, 휴학, 수료</t>
        </is>
      </c>
      <c r="F6" s="5" t="inlineStr">
        <is>
          <t>졸업/중퇴=IN(1,3,5) 수료포함 필수. 예외: 표04는 IN(1,3)</t>
        </is>
      </c>
      <c r="G6" s="15" t="inlineStr">
        <is>
          <t>교육이력</t>
        </is>
      </c>
    </row>
    <row r="7" ht="60" customHeight="1">
      <c r="A7" s="13" t="inlineStr">
        <is>
          <t>교육정도_학력구분코드</t>
        </is>
      </c>
      <c r="B7" s="5" t="inlineStr">
        <is>
          <t>범주형</t>
        </is>
      </c>
      <c r="C7" s="5" t="inlineStr">
        <is>
          <t>0=무학,1=초등,2=중학,3=고등
4=전문대,5=4년제,6=대학원석사,7=박사</t>
        </is>
      </c>
      <c r="D7" s="5" t="inlineStr">
        <is>
          <t>표05·06</t>
        </is>
      </c>
      <c r="E7" s="5" t="inlineStr">
        <is>
          <t>고졸, 전문대, 4년제, 대학원, 학력</t>
        </is>
      </c>
      <c r="F7" s="6" t="inlineStr">
        <is>
          <t>표12 학력구분에는 이 변수 금지 → 컨버젼코드 사용</t>
        </is>
      </c>
      <c r="G7" s="15" t="inlineStr">
        <is>
          <t>교육이력</t>
        </is>
      </c>
    </row>
    <row r="8" ht="60" customHeight="1">
      <c r="A8" s="13" t="inlineStr">
        <is>
          <t>교육정도컨버젼코드</t>
        </is>
      </c>
      <c r="B8" s="5" t="inlineStr">
        <is>
          <t>범주형</t>
        </is>
      </c>
      <c r="C8" s="5" t="inlineStr">
        <is>
          <t>1=초졸이하,2=중졸,3=고졸
4=초대졸,5=대졸,6=대학원졸</t>
        </is>
      </c>
      <c r="D8" s="5" t="inlineStr">
        <is>
          <t>표12</t>
        </is>
      </c>
      <c r="E8" s="5" t="inlineStr">
        <is>
          <t>고졸이하, 대졸이상, 학력별</t>
        </is>
      </c>
      <c r="F8" s="5" t="inlineStr">
        <is>
          <t>표12 학력 기준 유일 정합 변수. 고졸이하=IN(1,2,3), 대졸이상=IN(4,5,6)</t>
        </is>
      </c>
      <c r="G8" s="15" t="inlineStr">
        <is>
          <t>교육이력</t>
        </is>
      </c>
    </row>
    <row r="9" ht="60" customHeight="1">
      <c r="A9" s="13" t="inlineStr">
        <is>
          <t>경제활동상태코드</t>
        </is>
      </c>
      <c r="B9" s="5" t="inlineStr">
        <is>
          <t>범주형</t>
        </is>
      </c>
      <c r="C9" s="5" t="inlineStr">
        <is>
          <t>1=취업자, 2=실업자, 3=비경제활동인구</t>
        </is>
      </c>
      <c r="D9" s="5" t="inlineStr">
        <is>
          <t>표02~04,13~19,21</t>
        </is>
      </c>
      <c r="E9" s="5" t="inlineStr">
        <is>
          <t>취업, 실업, 비경활, 고용, 일자리</t>
        </is>
      </c>
      <c r="F9" s="5" t="inlineStr">
        <is>
          <t>고용률=취업/전체, 실업률=실업/경활(취업+실업)</t>
        </is>
      </c>
      <c r="G9" s="15" t="inlineStr">
        <is>
          <t>경제활동</t>
        </is>
      </c>
    </row>
    <row r="10" ht="60" customHeight="1">
      <c r="A10" s="13" t="inlineStr">
        <is>
          <t>현재일관련사항_11차산업대분류코드</t>
        </is>
      </c>
      <c r="B10" s="5" t="inlineStr">
        <is>
          <t>문자형</t>
        </is>
      </c>
      <c r="C10" s="5" t="inlineStr">
        <is>
          <t>A=농업/임업/어업, B=광업, C=제조업
D=전기가스, E=수도폐기물, F=건설
G=도소매, H=운수창고, I=숙박음식
J=정보통신, K=금융보험, L=부동산
M=전문과학기술, N=사업시설관리
O=공공행정국방, P=교육서비스
Q=보건사회복지, R=예술스포츠
S=협회단체수리, T=가구내, U=국제
0(문자)=비취업자</t>
        </is>
      </c>
      <c r="D10" s="5" t="inlineStr">
        <is>
          <t>표03·15</t>
        </is>
      </c>
      <c r="E10" s="5" t="inlineStr">
        <is>
          <t>산업별, 제조업, IT, 의료, 교육, 공공</t>
        </is>
      </c>
      <c r="F10" s="5" t="inlineStr">
        <is>
          <t>문자형 변수. 비취업='0'(문자). 코드 NE '0'으로 필터</t>
        </is>
      </c>
      <c r="G10" s="16" t="inlineStr">
        <is>
          <t>현재직장</t>
        </is>
      </c>
    </row>
    <row r="11" ht="60" customHeight="1">
      <c r="A11" s="13" t="inlineStr">
        <is>
          <t>현재일관련사항_8차직업대분류코드</t>
        </is>
      </c>
      <c r="B11" s="5" t="inlineStr">
        <is>
          <t>범주형(혼합)</t>
        </is>
      </c>
      <c r="C11" s="5" t="inlineStr">
        <is>
          <t>1=관리자, 2=전문가, 3=사무
4=서비스, 5=판매, 6=농림어업
7=기능원, 8=장치기계, 9=단순노무
A=군인(제외), 0=비취업(제외)</t>
        </is>
      </c>
      <c r="D11" s="5" t="inlineStr">
        <is>
          <t>표04·16</t>
        </is>
      </c>
      <c r="E11" s="5" t="inlineStr">
        <is>
          <t>직업별, 관리자, 사무직, 서비스</t>
        </is>
      </c>
      <c r="F11" s="5" t="inlineStr">
        <is>
          <t>군인(A)·비취업(0) 제외. 관리자+전문가=코드1+2 합산 후 ÷1,000,000</t>
        </is>
      </c>
      <c r="G11" s="16" t="inlineStr">
        <is>
          <t>현재직장</t>
        </is>
      </c>
    </row>
    <row r="12" ht="60" customHeight="1">
      <c r="A12" s="13" t="inlineStr">
        <is>
          <t>현재일관련사항_종사상지위코드</t>
        </is>
      </c>
      <c r="B12" s="5" t="inlineStr">
        <is>
          <t>범주형</t>
        </is>
      </c>
      <c r="C12" s="5" t="inlineStr">
        <is>
          <t>1=상용, 2=임시, 3=일용
4=고용원있는자영, 5=고용원없는자영
6=무급가족</t>
        </is>
      </c>
      <c r="D12" s="5" t="inlineStr">
        <is>
          <t>표13·14·17</t>
        </is>
      </c>
      <c r="E12" s="5" t="inlineStr">
        <is>
          <t>임금근로자, 자영업, 정규직</t>
        </is>
      </c>
      <c r="F12" s="5" t="inlineStr">
        <is>
          <t>임금근로자 판별=IN(1,2,3)</t>
        </is>
      </c>
      <c r="G12" s="16" t="inlineStr">
        <is>
          <t>현재직장</t>
        </is>
      </c>
    </row>
    <row r="13" ht="60" customHeight="1">
      <c r="A13" s="13" t="inlineStr">
        <is>
          <t>현재일관련사항_고용계약기간정함여부</t>
        </is>
      </c>
      <c r="B13" s="5" t="inlineStr">
        <is>
          <t>범주형</t>
        </is>
      </c>
      <c r="C13" s="5" t="inlineStr">
        <is>
          <t>1=정하였음(기간제), 2=정하지않음</t>
        </is>
      </c>
      <c r="D13" s="5" t="inlineStr">
        <is>
          <t>표17</t>
        </is>
      </c>
      <c r="E13" s="5" t="inlineStr">
        <is>
          <t>계약기간, 기간제, 비기간제</t>
        </is>
      </c>
      <c r="F13" s="5" t="inlineStr">
        <is>
          <t>없음</t>
        </is>
      </c>
      <c r="G13" s="16" t="inlineStr">
        <is>
          <t>현재직장</t>
        </is>
      </c>
    </row>
    <row r="14" ht="60" customHeight="1">
      <c r="A14" s="13" t="inlineStr">
        <is>
          <t>현재일관련사항_고용계약기간코드</t>
        </is>
      </c>
      <c r="B14" s="5" t="inlineStr">
        <is>
          <t>범주형</t>
        </is>
      </c>
      <c r="C14" s="5" t="inlineStr">
        <is>
          <t>1=1개월미만,2=1~6개월미만
3=6개월~1년미만,4=1년
5=1년초과~2년,6=2년초과~3년
7=3년초과,8=3년초과(기간한정)</t>
        </is>
      </c>
      <c r="D14" s="5" t="inlineStr">
        <is>
          <t>표17</t>
        </is>
      </c>
      <c r="E14" s="5" t="inlineStr">
        <is>
          <t>계약기간 길이, 1년이하, 1년초과</t>
        </is>
      </c>
      <c r="F14" s="5" t="inlineStr">
        <is>
          <t>1년이하=코드1~5, 1년초과=코드6~8</t>
        </is>
      </c>
      <c r="G14" s="16" t="inlineStr">
        <is>
          <t>현재직장</t>
        </is>
      </c>
    </row>
    <row r="15" ht="60" customHeight="1">
      <c r="A15" s="13" t="inlineStr">
        <is>
          <t>가장최근학교_입학및편입연월</t>
        </is>
      </c>
      <c r="B15" s="5" t="inlineStr">
        <is>
          <t>YYYYMM</t>
        </is>
      </c>
      <c r="C15" s="5" t="inlineStr">
        <is>
          <t>입학 연월 (편입자는 미사용)</t>
        </is>
      </c>
      <c r="D15" s="5" t="inlineStr">
        <is>
          <t>표05</t>
        </is>
      </c>
      <c r="E15" s="5" t="inlineStr">
        <is>
          <t>입학년도, 대학입학</t>
        </is>
      </c>
      <c r="F15" s="5" t="inlineStr">
        <is>
          <t>편입자(편입경험유무=1)는 편입전학교입학연월 사용</t>
        </is>
      </c>
      <c r="G15" s="16" t="inlineStr">
        <is>
          <t>학업이력</t>
        </is>
      </c>
    </row>
    <row r="16" ht="60" customHeight="1">
      <c r="A16" s="13" t="inlineStr">
        <is>
          <t>가장최근학교_졸업및중퇴연월</t>
        </is>
      </c>
      <c r="B16" s="5" t="inlineStr">
        <is>
          <t>YYYYMM</t>
        </is>
      </c>
      <c r="C16" s="5" t="inlineStr">
        <is>
          <t>졸업/중퇴 연월. 0=미졸업</t>
        </is>
      </c>
      <c r="D16" s="5" t="inlineStr">
        <is>
          <t>표05~23</t>
        </is>
      </c>
      <c r="E16" s="5" t="inlineStr">
        <is>
          <t>졸업년도, 언제졸업</t>
        </is>
      </c>
      <c r="F16" s="5" t="inlineStr">
        <is>
          <t>&gt;0 필터 필수</t>
        </is>
      </c>
      <c r="G16" s="16" t="inlineStr">
        <is>
          <t>학업이력</t>
        </is>
      </c>
    </row>
    <row r="17" ht="60" customHeight="1">
      <c r="A17" s="13" t="inlineStr">
        <is>
          <t>가장최근학교_편입경험유무</t>
        </is>
      </c>
      <c r="B17" s="5" t="inlineStr">
        <is>
          <t>범주형</t>
        </is>
      </c>
      <c r="C17" s="5" t="inlineStr">
        <is>
          <t>1=있음, 2=없음</t>
        </is>
      </c>
      <c r="D17" s="5" t="inlineStr">
        <is>
          <t>표05</t>
        </is>
      </c>
      <c r="E17" s="5" t="inlineStr">
        <is>
          <t>편입, 편입여부</t>
        </is>
      </c>
      <c r="F17" s="5" t="inlineStr">
        <is>
          <t>없음</t>
        </is>
      </c>
      <c r="G17" s="16" t="inlineStr">
        <is>
          <t>학업이력</t>
        </is>
      </c>
    </row>
    <row r="18" ht="60" customHeight="1">
      <c r="A18" s="13" t="inlineStr">
        <is>
          <t>가장최근학교_편입전학교입학연월</t>
        </is>
      </c>
      <c r="B18" s="5" t="inlineStr">
        <is>
          <t>YYYYMM</t>
        </is>
      </c>
      <c r="C18" s="5" t="inlineStr">
        <is>
          <t>편입 전 원래 입학 연월</t>
        </is>
      </c>
      <c r="D18" s="5" t="inlineStr">
        <is>
          <t>표05</t>
        </is>
      </c>
      <c r="E18" s="5" t="inlineStr">
        <is>
          <t>편입전학교</t>
        </is>
      </c>
      <c r="F18" s="5" t="inlineStr">
        <is>
          <t>편입경험=1일 때만 유효</t>
        </is>
      </c>
      <c r="G18" s="16" t="inlineStr">
        <is>
          <t>학업이력</t>
        </is>
      </c>
    </row>
    <row r="19" ht="60" customHeight="1">
      <c r="A19" s="13" t="inlineStr">
        <is>
          <t>가장최근학교_휴학경험유무</t>
        </is>
      </c>
      <c r="B19" s="5" t="inlineStr">
        <is>
          <t>범주형</t>
        </is>
      </c>
      <c r="C19" s="5" t="inlineStr">
        <is>
          <t>1=있음, 2=없음</t>
        </is>
      </c>
      <c r="D19" s="5" t="inlineStr">
        <is>
          <t>표06</t>
        </is>
      </c>
      <c r="E19" s="5" t="inlineStr">
        <is>
          <t>휴학했나, 휴학경험</t>
        </is>
      </c>
      <c r="F19" s="5" t="inlineStr">
        <is>
          <t>없음</t>
        </is>
      </c>
      <c r="G19" s="16" t="inlineStr">
        <is>
          <t>학업이력</t>
        </is>
      </c>
    </row>
    <row r="20" ht="60" customHeight="1">
      <c r="A20" s="13" t="inlineStr">
        <is>
          <t>가장최근학교_휴학기간년수</t>
        </is>
      </c>
      <c r="B20" s="5" t="inlineStr">
        <is>
          <t>수치형(년)</t>
        </is>
      </c>
      <c r="C20" s="5" t="inlineStr">
        <is>
          <t>휴학 기간 (년)</t>
        </is>
      </c>
      <c r="D20" s="5" t="inlineStr">
        <is>
          <t>표06</t>
        </is>
      </c>
      <c r="E20" s="5" t="inlineStr">
        <is>
          <t>휴학기간</t>
        </is>
      </c>
      <c r="F20" s="5" t="inlineStr">
        <is>
          <t>×12 후 월수와 합산하여 총 개월 계산</t>
        </is>
      </c>
      <c r="G20" s="16" t="inlineStr">
        <is>
          <t>학업이력</t>
        </is>
      </c>
    </row>
    <row r="21" ht="60" customHeight="1">
      <c r="A21" s="13" t="inlineStr">
        <is>
          <t>가장최근학교_휴학기간월수</t>
        </is>
      </c>
      <c r="B21" s="5" t="inlineStr">
        <is>
          <t>수치형(월)</t>
        </is>
      </c>
      <c r="C21" s="5" t="inlineStr">
        <is>
          <t>휴학 기간 (월)</t>
        </is>
      </c>
      <c r="D21" s="5" t="inlineStr">
        <is>
          <t>표06</t>
        </is>
      </c>
      <c r="E21" s="5" t="inlineStr">
        <is>
          <t>휴학기간</t>
        </is>
      </c>
      <c r="F21" s="5" t="inlineStr">
        <is>
          <t>년수×12 + 월수 = 총 개월</t>
        </is>
      </c>
      <c r="G21" s="16" t="inlineStr">
        <is>
          <t>학업이력</t>
        </is>
      </c>
    </row>
    <row r="22" ht="60" customHeight="1">
      <c r="A22" s="13" t="inlineStr">
        <is>
          <t>가장최근학교_휴학사유1코드
가장최근학교_휴학사유2코드</t>
        </is>
      </c>
      <c r="B22" s="5" t="inlineStr">
        <is>
          <t>범주형(복수응답)</t>
        </is>
      </c>
      <c r="C22" s="5" t="inlineStr">
        <is>
          <t>1=공공취업시험준비, 2=민간취업시험
3=자격시험, 4=어학연수
5=인턴현장경험, 6=가족병간호
7=학비생활비마련, 8=병역의무이행
9=기타</t>
        </is>
      </c>
      <c r="D22" s="5" t="inlineStr">
        <is>
          <t>표06</t>
        </is>
      </c>
      <c r="E22" s="5" t="inlineStr">
        <is>
          <t>휴학이유, 군대, 어학연수, 인턴</t>
        </is>
      </c>
      <c r="F22" s="6" t="inlineStr">
        <is>
          <t>복수응답: 사유1+사유2 단순합 (중복 포함). OR 집합 금지</t>
        </is>
      </c>
      <c r="G22" s="16" t="inlineStr">
        <is>
          <t>학업이력</t>
        </is>
      </c>
    </row>
    <row r="23" ht="60" customHeight="1">
      <c r="A23" s="13" t="inlineStr">
        <is>
          <t>직업교육및직장체험_직업교육수혜구분코드</t>
        </is>
      </c>
      <c r="B23" s="5" t="inlineStr">
        <is>
          <t>범주형</t>
        </is>
      </c>
      <c r="C23" s="5" t="inlineStr">
        <is>
          <t>1=없음, 2=재학중
3=졸업후, 4=재학+졸업후모두</t>
        </is>
      </c>
      <c r="D23" s="5" t="inlineStr">
        <is>
          <t>표09·10</t>
        </is>
      </c>
      <c r="E23" s="5" t="inlineStr">
        <is>
          <t>직업훈련, 직업교육, 훈련받았나</t>
        </is>
      </c>
      <c r="F23" s="6" t="inlineStr">
        <is>
          <t>경험있음=IN(2,3,4). 코드4 반드시 포함</t>
        </is>
      </c>
      <c r="G23" s="17" t="inlineStr">
        <is>
          <t>직업훈련</t>
        </is>
      </c>
    </row>
    <row r="24" ht="60" customHeight="1">
      <c r="A24" s="13" t="inlineStr">
        <is>
          <t>직업교육및직장체험_재학휴학중직장체험여부</t>
        </is>
      </c>
      <c r="B24" s="5" t="inlineStr">
        <is>
          <t>범주형</t>
        </is>
      </c>
      <c r="C24" s="5" t="inlineStr">
        <is>
          <t>1=하였음, 2=하지않음</t>
        </is>
      </c>
      <c r="D24" s="5" t="inlineStr">
        <is>
          <t>표07·08</t>
        </is>
      </c>
      <c r="E24" s="5" t="inlineStr">
        <is>
          <t>직장체험, 인턴경험</t>
        </is>
      </c>
      <c r="F24" s="5" t="inlineStr">
        <is>
          <t>없음</t>
        </is>
      </c>
      <c r="G24" s="17" t="inlineStr">
        <is>
          <t>직업훈련</t>
        </is>
      </c>
    </row>
    <row r="25" ht="60" customHeight="1">
      <c r="A25" s="13" t="inlineStr">
        <is>
          <t>직업교육및직장체험_직장체험주요형태코드</t>
        </is>
      </c>
      <c r="B25" s="5" t="inlineStr">
        <is>
          <t>범주형</t>
        </is>
      </c>
      <c r="C25" s="5" t="inlineStr">
        <is>
          <t>1=전일제취업, 2=시간제취업
3=기업인턴, 4=학교현장실습
5=정부지원프로그램, 6=기타</t>
        </is>
      </c>
      <c r="D25" s="5" t="inlineStr">
        <is>
          <t>표08</t>
        </is>
      </c>
      <c r="E25" s="5" t="inlineStr">
        <is>
          <t>체험형태, 알바, 인턴, 현장실습</t>
        </is>
      </c>
      <c r="F25" s="5" t="inlineStr">
        <is>
          <t>없음</t>
        </is>
      </c>
      <c r="G25" s="17" t="inlineStr">
        <is>
          <t>직업훈련</t>
        </is>
      </c>
    </row>
    <row r="26" ht="60" customHeight="1">
      <c r="A26" s="13" t="inlineStr">
        <is>
          <t>직업교육및직장체험_재학휴학중직장체험기간코드</t>
        </is>
      </c>
      <c r="B26" s="5" t="inlineStr">
        <is>
          <t>범주형</t>
        </is>
      </c>
      <c r="C26" s="5" t="inlineStr">
        <is>
          <t>1=15일미만, 2=15일~1개월미만
3=1~3개월미만, 4=3~6개월미만
5=6개월~1년미만, 6=1년이상</t>
        </is>
      </c>
      <c r="D26" s="5" t="inlineStr">
        <is>
          <t>표07</t>
        </is>
      </c>
      <c r="E26" s="5" t="inlineStr">
        <is>
          <t>체험기간, 얼마나</t>
        </is>
      </c>
      <c r="F26" s="5" t="inlineStr">
        <is>
          <t>KOSIS구간 합산: 1개월미만=1+2, 6개월이상=5+6</t>
        </is>
      </c>
      <c r="G26" s="17" t="inlineStr">
        <is>
          <t>직업훈련</t>
        </is>
      </c>
    </row>
    <row r="27" ht="60" customHeight="1">
      <c r="A27" s="13" t="inlineStr">
        <is>
          <t>직업교육및직장체험_취업관련시험준비여부</t>
        </is>
      </c>
      <c r="B27" s="5" t="inlineStr">
        <is>
          <t>범주형</t>
        </is>
      </c>
      <c r="C27" s="5" t="inlineStr">
        <is>
          <t>1=하였음, 2=하지않음</t>
        </is>
      </c>
      <c r="D27" s="5" t="inlineStr">
        <is>
          <t>표20</t>
        </is>
      </c>
      <c r="E27" s="5" t="inlineStr">
        <is>
          <t>취업시험준비, 취준</t>
        </is>
      </c>
      <c r="F27" s="5" t="inlineStr">
        <is>
          <t>분모=비경활(경제활동상태=3)만</t>
        </is>
      </c>
      <c r="G27" s="17" t="inlineStr">
        <is>
          <t>직업훈련</t>
        </is>
      </c>
    </row>
    <row r="28" ht="60" customHeight="1">
      <c r="A28" s="13" t="inlineStr">
        <is>
          <t>직업교육및직장체험_취업관련시험준비분야코드</t>
        </is>
      </c>
      <c r="B28" s="5" t="inlineStr">
        <is>
          <t>범주형</t>
        </is>
      </c>
      <c r="C28" s="5" t="inlineStr">
        <is>
          <t>1=언론사, 2=공사공단공영기업
3=일반기업, 4=교원임용
5=5급공채고시, 6=일반직공무원
7=전문직자격증, 8=기능자격증
9=기타</t>
        </is>
      </c>
      <c r="D28" s="5" t="inlineStr">
        <is>
          <t>표20</t>
        </is>
      </c>
      <c r="E28" s="5" t="inlineStr">
        <is>
          <t>공무원시험, 공기업, 고시, 교원</t>
        </is>
      </c>
      <c r="F28" s="5" t="inlineStr">
        <is>
          <t>KOSIS매핑: 고시전문직=5+7, 언론공영=1+2, 기능기타=8+9</t>
        </is>
      </c>
      <c r="G28" s="17" t="inlineStr">
        <is>
          <t>직업훈련</t>
        </is>
      </c>
    </row>
    <row r="29" ht="60" customHeight="1">
      <c r="A29" s="13" t="inlineStr">
        <is>
          <t>졸업및중퇴후취업횟수코드</t>
        </is>
      </c>
      <c r="B29" s="5" t="inlineStr">
        <is>
          <t>범주형</t>
        </is>
      </c>
      <c r="C29" s="5" t="inlineStr">
        <is>
          <t>1=없음(무경험)
2=한번, 3=두번, 4=세번, 5=네번이상</t>
        </is>
      </c>
      <c r="D29" s="5" t="inlineStr">
        <is>
          <t>표11~23</t>
        </is>
      </c>
      <c r="E29" s="5" t="inlineStr">
        <is>
          <t>취업횟수, 이직횟수, 경험유무</t>
        </is>
      </c>
      <c r="F29" s="5" t="inlineStr">
        <is>
          <t>취업유경험=IN(2,3,4,5). 코드2+경활=1 → 첫직장=현직장</t>
        </is>
      </c>
      <c r="G29" s="17" t="inlineStr">
        <is>
          <t>취업이력</t>
        </is>
      </c>
    </row>
    <row r="30" ht="60" customHeight="1">
      <c r="A30" s="13" t="inlineStr">
        <is>
          <t>첫직장_취업당시고용형태코드</t>
        </is>
      </c>
      <c r="B30" s="5" t="inlineStr">
        <is>
          <t>범주형</t>
        </is>
      </c>
      <c r="C30" s="5" t="inlineStr">
        <is>
          <t>1~4=계약기간정함(기간제)
5=계속근무가능(비기간제)
6=일시적일자리
7~8=자영업, 9=무급가족
0=현직장=첫직장(대체필요)</t>
        </is>
      </c>
      <c r="D30" s="5" t="inlineStr">
        <is>
          <t>표13·17</t>
        </is>
      </c>
      <c r="E30" s="5" t="inlineStr">
        <is>
          <t>첫직장계약, 기간제, 비기간제</t>
        </is>
      </c>
      <c r="F30" s="5" t="inlineStr">
        <is>
          <t>코드=0이면 현재 고용계약 변수로 대체</t>
        </is>
      </c>
      <c r="G30" s="17" t="inlineStr">
        <is>
          <t>취업이력</t>
        </is>
      </c>
    </row>
    <row r="31" ht="60" customHeight="1">
      <c r="A31" s="13" t="inlineStr">
        <is>
          <t>첫직장_임금근로자_전일제시간제여부</t>
        </is>
      </c>
      <c r="B31" s="5" t="inlineStr">
        <is>
          <t>범주형</t>
        </is>
      </c>
      <c r="C31" s="5" t="inlineStr">
        <is>
          <t>1=전일제, 2=시간제, 0=해당없음</t>
        </is>
      </c>
      <c r="D31" s="5" t="inlineStr">
        <is>
          <t>표17</t>
        </is>
      </c>
      <c r="E31" s="5" t="inlineStr">
        <is>
          <t>전일제, 시간제, 파트타임</t>
        </is>
      </c>
      <c r="F31" s="5" t="inlineStr">
        <is>
          <t>없음</t>
        </is>
      </c>
      <c r="G31" s="17" t="inlineStr">
        <is>
          <t>취업이력</t>
        </is>
      </c>
    </row>
    <row r="32" ht="60" customHeight="1">
      <c r="A32" s="13" t="inlineStr">
        <is>
          <t>첫직장_월평균급여액</t>
        </is>
      </c>
      <c r="B32" s="5" t="inlineStr">
        <is>
          <t>범주형(코드)</t>
        </is>
      </c>
      <c r="C32" s="5" t="inlineStr">
        <is>
          <t>1=50만미만, 2=50~100만미만
3=100~150미만, 4=150~200미만
5=200~300미만, 6=300~400미만
7=400~500미만, 8=500만이상
0=해당없음</t>
        </is>
      </c>
      <c r="D32" s="5" t="inlineStr">
        <is>
          <t>표18</t>
        </is>
      </c>
      <c r="E32" s="5" t="inlineStr">
        <is>
          <t>임금, 월급, 초봉, 급여</t>
        </is>
      </c>
      <c r="F32" s="6" t="inlineStr">
        <is>
          <t>고용형태 필터 금지. 급여액&gt;0 전체대상. 300만이상=코드6+7+8</t>
        </is>
      </c>
      <c r="G32" s="17" t="inlineStr">
        <is>
          <t>취업이력</t>
        </is>
      </c>
    </row>
    <row r="33" ht="60" customHeight="1">
      <c r="A33" s="13" t="inlineStr">
        <is>
          <t>첫직장취업연월</t>
        </is>
      </c>
      <c r="B33" s="5" t="inlineStr">
        <is>
          <t>YYYYMM</t>
        </is>
      </c>
      <c r="C33" s="5" t="inlineStr">
        <is>
          <t>첫 취업 연월. 0=현직장=첫직장</t>
        </is>
      </c>
      <c r="D33" s="5" t="inlineStr">
        <is>
          <t>표13·14</t>
        </is>
      </c>
      <c r="E33" s="5" t="inlineStr">
        <is>
          <t>첫취업시기, 처음취업</t>
        </is>
      </c>
      <c r="F33" s="5">
        <f>0이면 현재직장시작연월로 대체</f>
        <v/>
      </c>
      <c r="G33" s="17" t="inlineStr">
        <is>
          <t>취업이력</t>
        </is>
      </c>
    </row>
    <row r="34" ht="60" customHeight="1">
      <c r="A34" s="13" t="inlineStr">
        <is>
          <t>첫직장이직연월</t>
        </is>
      </c>
      <c r="B34" s="5" t="inlineStr">
        <is>
          <t>YYYYMM</t>
        </is>
      </c>
      <c r="C34" s="5" t="inlineStr">
        <is>
          <t>첫 직장 이직 연월. 0=아직재직</t>
        </is>
      </c>
      <c r="D34" s="5" t="inlineStr">
        <is>
          <t>표14·19</t>
        </is>
      </c>
      <c r="E34" s="5" t="inlineStr">
        <is>
          <t>이직시기, 첫직장그만둔시기</t>
        </is>
      </c>
      <c r="F34" s="6">
        <f>0은 미이직. '이직연월=0+경활=1'로 현직장 판별 금지</f>
        <v/>
      </c>
      <c r="G34" s="17" t="inlineStr">
        <is>
          <t>취업이력</t>
        </is>
      </c>
    </row>
    <row r="35" ht="60" customHeight="1">
      <c r="A35" s="13" t="inlineStr">
        <is>
          <t>첫직장퇴직사유코드</t>
        </is>
      </c>
      <c r="B35" s="5" t="inlineStr">
        <is>
          <t>범주형</t>
        </is>
      </c>
      <c r="C35" s="5" t="inlineStr">
        <is>
          <t>1=근로여건불만족, 2=전공기술적성
3=전망없어서, 4=개인가족이유
5=창업가족사업, 6=임시계절완료
7=계약기간끝남, 8=권고사직정리해고
9=직장휴업폐업파산, 10=기타</t>
        </is>
      </c>
      <c r="D35" s="5" t="inlineStr">
        <is>
          <t>표19</t>
        </is>
      </c>
      <c r="E35" s="5" t="inlineStr">
        <is>
          <t>퇴직사유, 이직이유, 그만둔이유</t>
        </is>
      </c>
      <c r="F35" s="5" t="inlineStr">
        <is>
          <t>KOSIS매핑: 직장폐업=코드9만. 권고사직(8)은 '그외(5+8+10)'</t>
        </is>
      </c>
      <c r="G35" s="17" t="inlineStr">
        <is>
          <t>취업이력</t>
        </is>
      </c>
    </row>
    <row r="36" ht="60" customHeight="1">
      <c r="A36" s="13" t="inlineStr">
        <is>
          <t>첫직장업종코드</t>
        </is>
      </c>
      <c r="B36" s="5" t="inlineStr">
        <is>
          <t>문자형</t>
        </is>
      </c>
      <c r="C36" s="5" t="inlineStr">
        <is>
          <t>A~U (11차산업코드와 동일체계)
0=현직장=첫직장</t>
        </is>
      </c>
      <c r="D36" s="5" t="inlineStr">
        <is>
          <t>표15</t>
        </is>
      </c>
      <c r="E36" s="5" t="inlineStr">
        <is>
          <t>첫직장업종, 처음일한산업</t>
        </is>
      </c>
      <c r="F36" s="5">
        <f>0이면 현재11차산업코드로 대체</f>
        <v/>
      </c>
      <c r="G36" s="17" t="inlineStr">
        <is>
          <t>취업이력</t>
        </is>
      </c>
    </row>
    <row r="37" ht="60" customHeight="1">
      <c r="A37" s="13" t="inlineStr">
        <is>
          <t>첫직장_근로형태코드</t>
        </is>
      </c>
      <c r="B37" s="5" t="inlineStr">
        <is>
          <t>범주형</t>
        </is>
      </c>
      <c r="C37" s="5" t="inlineStr">
        <is>
          <t>⚠️ 변수명 오해 주의!
실제=8차직업대분류코드(1~9)
1=관리자,2=전문가,3=사무
4=서비스,5=판매,6=농림어업
7=기능원,8=장치기계,9=단순노무
0=현직장=첫직장(대체필요)</t>
        </is>
      </c>
      <c r="D37" s="5" t="inlineStr">
        <is>
          <t>표16</t>
        </is>
      </c>
      <c r="E37" s="5" t="inlineStr">
        <is>
          <t>첫직장직업, 처음무슨일</t>
        </is>
      </c>
      <c r="F37" s="6" t="inlineStr">
        <is>
          <t>⚠️ 변수명이 '근로형태'이나 실제는 직업코드. =0이면 현재직업코드로 대체</t>
        </is>
      </c>
      <c r="G37" s="17" t="inlineStr">
        <is>
          <t>취업이력</t>
        </is>
      </c>
    </row>
    <row r="38" ht="60" customHeight="1">
      <c r="A38" s="13" t="inlineStr">
        <is>
          <t>최근직장_취업경로코드</t>
        </is>
      </c>
      <c r="B38" s="5" t="inlineStr">
        <is>
          <t>범주형</t>
        </is>
      </c>
      <c r="C38" s="5" t="inlineStr">
        <is>
          <t>01=공개채용시험, 02=특별채용
03=신문잡지인터넷응모
04=학교선생님추천
05=가족친지소개, 06=직장근무자소개
07=공공취업알선, 08=민간알선
09=학교내취업소개, 10=자영업
11=기타</t>
        </is>
      </c>
      <c r="D38" s="5" t="inlineStr">
        <is>
          <t>표12</t>
        </is>
      </c>
      <c r="E38" s="5" t="inlineStr">
        <is>
          <t>취업경로, 어떻게취업, 공개시험</t>
        </is>
      </c>
      <c r="F38" s="5" t="inlineStr">
        <is>
          <t>코드09는 '그 외(07+08+09+10+11)'에 포함</t>
        </is>
      </c>
      <c r="G38" s="17" t="inlineStr">
        <is>
          <t>취업이력</t>
        </is>
      </c>
    </row>
    <row r="39" ht="60" customHeight="1">
      <c r="A39" s="13" t="inlineStr">
        <is>
          <t>최근직장_전공관련성코드</t>
        </is>
      </c>
      <c r="B39" s="5" t="inlineStr">
        <is>
          <t>범주형</t>
        </is>
      </c>
      <c r="C39" s="5" t="inlineStr">
        <is>
          <t>1=매우불일치, 2=약간불일치
3=그런대로일치, 4=매우일치
0=해당없음</t>
        </is>
      </c>
      <c r="D39" s="5" t="inlineStr">
        <is>
          <t>표21</t>
        </is>
      </c>
      <c r="E39" s="5" t="inlineStr">
        <is>
          <t>전공일치, 미스매치, 전공관련</t>
        </is>
      </c>
      <c r="F39" s="6" t="inlineStr">
        <is>
          <t>계(合)는 취업유경험자 전체 기준. 전공관련성 응답자만으로 계 계산 금지</t>
        </is>
      </c>
      <c r="G39" s="17" t="inlineStr">
        <is>
          <t>취업이력</t>
        </is>
      </c>
    </row>
    <row r="40" ht="60" customHeight="1">
      <c r="A40" s="13" t="inlineStr">
        <is>
          <t>미취업_퇴직후미취업기간구분코드</t>
        </is>
      </c>
      <c r="B40" s="5" t="inlineStr">
        <is>
          <t>범주형</t>
        </is>
      </c>
      <c r="C40" s="5" t="inlineStr">
        <is>
          <t>0=해당없음(미취업자아님)
1=6개월미만, 2=6개월~1년미만
3=1~2년미만, 4=2~3년미만
5=3년이상</t>
        </is>
      </c>
      <c r="D40" s="5" t="inlineStr">
        <is>
          <t>표22·23</t>
        </is>
      </c>
      <c r="E40" s="5" t="inlineStr">
        <is>
          <t>미취업기간, 얼마나놀았나, 장기미취업</t>
        </is>
      </c>
      <c r="F40" s="5" t="inlineStr">
        <is>
          <t>미취업자 필터: &gt;0</t>
        </is>
      </c>
      <c r="G40" s="18" t="inlineStr">
        <is>
          <t>미취업</t>
        </is>
      </c>
    </row>
    <row r="41" ht="60" customHeight="1">
      <c r="A41" s="13" t="inlineStr">
        <is>
          <t>미취업_주요활동상태코드</t>
        </is>
      </c>
      <c r="B41" s="5" t="inlineStr">
        <is>
          <t>범주형</t>
        </is>
      </c>
      <c r="C41" s="5" t="inlineStr">
        <is>
          <t>1=직업교육훈련
2=취업시험준비
3=그냥시간보냄(쉬었음)
4=여가
5=구직활동
6=육아가사
7=진학준비(2024.5~신설)
8=기타(2024.5~신설)</t>
        </is>
      </c>
      <c r="D41" s="5" t="inlineStr">
        <is>
          <t>표23</t>
        </is>
      </c>
      <c r="E41" s="5" t="inlineStr">
        <is>
          <t>미취업중뭐했나, 쉬었음, 구직, 취준</t>
        </is>
      </c>
      <c r="F41" s="5" t="inlineStr">
        <is>
          <t>코드7·8은 2024.5~부터 신설. 이전과 직접비교 주의</t>
        </is>
      </c>
      <c r="G41" s="18" t="inlineStr">
        <is>
          <t>미취업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36" customWidth="1" min="4" max="4"/>
    <col width="28" customWidth="1" min="5" max="5"/>
    <col width="10" customWidth="1" min="6" max="6"/>
  </cols>
  <sheetData>
    <row r="1" ht="28" customHeight="1">
      <c r="A1" s="1" t="inlineStr">
        <is>
          <t>코드값 ↔ 자연어 의미 사전 — AI 키워드 인식 직접 참조용</t>
        </is>
      </c>
    </row>
    <row r="2" ht="22" customHeight="1">
      <c r="A2" s="2" t="inlineStr">
        <is>
          <t>변수명</t>
        </is>
      </c>
      <c r="B2" s="2" t="inlineStr">
        <is>
          <t>코드값</t>
        </is>
      </c>
      <c r="C2" s="2" t="inlineStr">
        <is>
          <t>공식 의미</t>
        </is>
      </c>
      <c r="D2" s="2" t="inlineStr">
        <is>
          <t>자연어 표현 (인식 대상)</t>
        </is>
      </c>
      <c r="E2" s="2" t="inlineStr">
        <is>
          <t>KOSIS 통합방식</t>
        </is>
      </c>
      <c r="F2" s="2" t="inlineStr">
        <is>
          <t>관련표</t>
        </is>
      </c>
    </row>
    <row r="3" ht="42" customHeight="1">
      <c r="A3" s="19" t="inlineStr">
        <is>
          <t>경제활동상태코드</t>
        </is>
      </c>
      <c r="B3" s="5" t="inlineStr">
        <is>
          <t>1</t>
        </is>
      </c>
      <c r="C3" s="5" t="inlineStr">
        <is>
          <t>취업자</t>
        </is>
      </c>
      <c r="D3" s="5" t="inlineStr">
        <is>
          <t>취업, 일하는사람, 고용됨, 직장있음</t>
        </is>
      </c>
      <c r="E3" s="5" t="inlineStr">
        <is>
          <t>단독</t>
        </is>
      </c>
      <c r="F3" s="5" t="inlineStr">
        <is>
          <t>전표</t>
        </is>
      </c>
    </row>
    <row r="4" ht="42" customHeight="1">
      <c r="A4" s="20" t="inlineStr">
        <is>
          <t>경제활동상태코드</t>
        </is>
      </c>
      <c r="B4" s="5" t="inlineStr">
        <is>
          <t>2</t>
        </is>
      </c>
      <c r="C4" s="5" t="inlineStr">
        <is>
          <t>실업자</t>
        </is>
      </c>
      <c r="D4" s="5" t="inlineStr">
        <is>
          <t>실업, 구직중, 백수(취업희망), 실직자</t>
        </is>
      </c>
      <c r="E4" s="5" t="inlineStr">
        <is>
          <t>단독</t>
        </is>
      </c>
      <c r="F4" s="5" t="inlineStr">
        <is>
          <t>표02</t>
        </is>
      </c>
    </row>
    <row r="5" ht="42" customHeight="1">
      <c r="A5" s="20" t="inlineStr">
        <is>
          <t>경제활동상태코드</t>
        </is>
      </c>
      <c r="B5" s="5" t="inlineStr">
        <is>
          <t>3</t>
        </is>
      </c>
      <c r="C5" s="5" t="inlineStr">
        <is>
          <t>비경제활동인구</t>
        </is>
      </c>
      <c r="D5" s="5" t="inlineStr">
        <is>
          <t>비경활, 취업않음, 취업안함, 쉬는중, 학생, 주부</t>
        </is>
      </c>
      <c r="E5" s="5" t="inlineStr">
        <is>
          <t>단독</t>
        </is>
      </c>
      <c r="F5" s="5" t="inlineStr">
        <is>
          <t>표02·20</t>
        </is>
      </c>
    </row>
    <row r="6" ht="42" customHeight="1">
      <c r="A6" s="19" t="inlineStr">
        <is>
          <t>교육정도_수학구분코드</t>
        </is>
      </c>
      <c r="B6" s="5" t="inlineStr">
        <is>
          <t>1,3,5</t>
        </is>
      </c>
      <c r="C6" s="5" t="inlineStr">
        <is>
          <t>졸업+중퇴+수료 (통합)</t>
        </is>
      </c>
      <c r="D6" s="5" t="inlineStr">
        <is>
          <t>졸업, 중퇴, 수료, 학교나온, 졸업자</t>
        </is>
      </c>
      <c r="E6" s="21" t="inlineStr">
        <is>
          <t>IN(1,3,5) — 수료5 포함</t>
        </is>
      </c>
      <c r="F6" s="5" t="inlineStr">
        <is>
          <t>대부분의 표</t>
        </is>
      </c>
    </row>
    <row r="7" ht="42" customHeight="1">
      <c r="A7" s="20" t="inlineStr">
        <is>
          <t>교육정도_수학구분코드</t>
        </is>
      </c>
      <c r="B7" s="5" t="inlineStr">
        <is>
          <t>1</t>
        </is>
      </c>
      <c r="C7" s="5" t="inlineStr">
        <is>
          <t>졸업</t>
        </is>
      </c>
      <c r="D7" s="5" t="inlineStr">
        <is>
          <t>졸업, 정규졸업</t>
        </is>
      </c>
      <c r="E7" s="5" t="inlineStr">
        <is>
          <t>단독 or 통합</t>
        </is>
      </c>
      <c r="F7" s="5" t="inlineStr">
        <is>
          <t>전표</t>
        </is>
      </c>
    </row>
    <row r="8" ht="42" customHeight="1">
      <c r="A8" s="20" t="inlineStr">
        <is>
          <t>교육정도_수학구분코드</t>
        </is>
      </c>
      <c r="B8" s="5" t="inlineStr">
        <is>
          <t>2</t>
        </is>
      </c>
      <c r="C8" s="5" t="inlineStr">
        <is>
          <t>재학</t>
        </is>
      </c>
      <c r="D8" s="5" t="inlineStr">
        <is>
          <t>재학중, 학교다니는, 대학생, 고등학생</t>
        </is>
      </c>
      <c r="E8" s="5" t="inlineStr">
        <is>
          <t>단독</t>
        </is>
      </c>
      <c r="F8" s="5" t="inlineStr">
        <is>
          <t>표01·02·07·09</t>
        </is>
      </c>
    </row>
    <row r="9" ht="42" customHeight="1">
      <c r="A9" s="20" t="inlineStr">
        <is>
          <t>교육정도_수학구분코드</t>
        </is>
      </c>
      <c r="B9" s="5" t="inlineStr">
        <is>
          <t>3</t>
        </is>
      </c>
      <c r="C9" s="5" t="inlineStr">
        <is>
          <t>중퇴</t>
        </is>
      </c>
      <c r="D9" s="5" t="inlineStr">
        <is>
          <t>중퇴, 자퇴, 그만둔</t>
        </is>
      </c>
      <c r="E9" s="21" t="inlineStr">
        <is>
          <t>IN(1,3,5)로 통합</t>
        </is>
      </c>
      <c r="F9" s="5" t="inlineStr">
        <is>
          <t>전표</t>
        </is>
      </c>
    </row>
    <row r="10" ht="42" customHeight="1">
      <c r="A10" s="20" t="inlineStr">
        <is>
          <t>교육정도_수학구분코드</t>
        </is>
      </c>
      <c r="B10" s="5" t="inlineStr">
        <is>
          <t>4</t>
        </is>
      </c>
      <c r="C10" s="5" t="inlineStr">
        <is>
          <t>휴학</t>
        </is>
      </c>
      <c r="D10" s="5" t="inlineStr">
        <is>
          <t>휴학중, 잠시쉬는</t>
        </is>
      </c>
      <c r="E10" s="21" t="inlineStr">
        <is>
          <t>IN(2,4)=재학·휴학</t>
        </is>
      </c>
      <c r="F10" s="5" t="inlineStr">
        <is>
          <t>표01·02</t>
        </is>
      </c>
    </row>
    <row r="11" ht="42" customHeight="1">
      <c r="A11" s="20" t="inlineStr">
        <is>
          <t>교육정도_수학구분코드</t>
        </is>
      </c>
      <c r="B11" s="5" t="inlineStr">
        <is>
          <t>5</t>
        </is>
      </c>
      <c r="C11" s="5" t="inlineStr">
        <is>
          <t>수료</t>
        </is>
      </c>
      <c r="D11" s="5" t="inlineStr">
        <is>
          <t>수료, 이수</t>
        </is>
      </c>
      <c r="E11" s="21" t="inlineStr">
        <is>
          <t>IN(1,3,5)로 통합</t>
        </is>
      </c>
      <c r="F11" s="5" t="inlineStr">
        <is>
          <t>전표</t>
        </is>
      </c>
    </row>
    <row r="12" ht="42" customHeight="1">
      <c r="A12" s="19" t="inlineStr">
        <is>
          <t>교육정도_학력구분코드</t>
        </is>
      </c>
      <c r="B12" s="5" t="inlineStr">
        <is>
          <t>3</t>
        </is>
      </c>
      <c r="C12" s="5" t="inlineStr">
        <is>
          <t>고등학교</t>
        </is>
      </c>
      <c r="D12" s="5" t="inlineStr">
        <is>
          <t>고졸, 고등학교졸업</t>
        </is>
      </c>
      <c r="E12" s="21" t="inlineStr">
        <is>
          <t>고졸이하=IN(1,2,3)(컨버젼코드)</t>
        </is>
      </c>
      <c r="F12" s="5" t="inlineStr">
        <is>
          <t>표05·06</t>
        </is>
      </c>
    </row>
    <row r="13" ht="42" customHeight="1">
      <c r="A13" s="20" t="inlineStr">
        <is>
          <t>교육정도_학력구분코드</t>
        </is>
      </c>
      <c r="B13" s="5" t="inlineStr">
        <is>
          <t>4</t>
        </is>
      </c>
      <c r="C13" s="5" t="inlineStr">
        <is>
          <t>전문대(2·3년제)</t>
        </is>
      </c>
      <c r="D13" s="5" t="inlineStr">
        <is>
          <t>전문대, 초대졸, 2년제, 3년제</t>
        </is>
      </c>
      <c r="E13" s="21" t="inlineStr">
        <is>
          <t>대졸=IN(4,5)</t>
        </is>
      </c>
      <c r="F13" s="5" t="inlineStr">
        <is>
          <t>표05·06</t>
        </is>
      </c>
    </row>
    <row r="14" ht="42" customHeight="1">
      <c r="A14" s="20" t="inlineStr">
        <is>
          <t>교육정도_학력구분코드</t>
        </is>
      </c>
      <c r="B14" s="5" t="inlineStr">
        <is>
          <t>5</t>
        </is>
      </c>
      <c r="C14" s="5" t="inlineStr">
        <is>
          <t>4년제 대학교</t>
        </is>
      </c>
      <c r="D14" s="5" t="inlineStr">
        <is>
          <t>4년제, 대졸, 대학교졸업</t>
        </is>
      </c>
      <c r="E14" s="21" t="inlineStr">
        <is>
          <t>대졸=IN(4,5)</t>
        </is>
      </c>
      <c r="F14" s="5" t="inlineStr">
        <is>
          <t>표05·06</t>
        </is>
      </c>
    </row>
    <row r="15" ht="42" customHeight="1">
      <c r="A15" s="19" t="inlineStr">
        <is>
          <t>교육정도컨버젼코드</t>
        </is>
      </c>
      <c r="B15" s="5" t="inlineStr">
        <is>
          <t>1,2,3</t>
        </is>
      </c>
      <c r="C15" s="5" t="inlineStr">
        <is>
          <t>고졸이하 (통합)</t>
        </is>
      </c>
      <c r="D15" s="5" t="inlineStr">
        <is>
          <t>고졸이하, 고등학교이하, 비대졸</t>
        </is>
      </c>
      <c r="E15" s="21" t="inlineStr">
        <is>
          <t>IN(1,2,3)</t>
        </is>
      </c>
      <c r="F15" s="5" t="inlineStr">
        <is>
          <t>표12</t>
        </is>
      </c>
    </row>
    <row r="16" ht="42" customHeight="1">
      <c r="A16" s="20" t="inlineStr">
        <is>
          <t>교육정도컨버젼코드</t>
        </is>
      </c>
      <c r="B16" s="5" t="inlineStr">
        <is>
          <t>4,5,6</t>
        </is>
      </c>
      <c r="C16" s="5" t="inlineStr">
        <is>
          <t>대졸이상 (통합)</t>
        </is>
      </c>
      <c r="D16" s="5" t="inlineStr">
        <is>
          <t>대졸이상, 대학교졸업이상, 고학력</t>
        </is>
      </c>
      <c r="E16" s="21" t="inlineStr">
        <is>
          <t>IN(4,5,6)</t>
        </is>
      </c>
      <c r="F16" s="5" t="inlineStr">
        <is>
          <t>표12</t>
        </is>
      </c>
    </row>
    <row r="17" ht="42" customHeight="1">
      <c r="A17" s="19" t="inlineStr">
        <is>
          <t>현재일관련사항_11차산업대분류코드</t>
        </is>
      </c>
      <c r="B17" s="5" t="inlineStr">
        <is>
          <t>A</t>
        </is>
      </c>
      <c r="C17" s="5" t="inlineStr">
        <is>
          <t>농업·임업·어업</t>
        </is>
      </c>
      <c r="D17" s="5" t="inlineStr">
        <is>
          <t>농업, 농업종사, 어업, 임업</t>
        </is>
      </c>
      <c r="E17" s="5" t="inlineStr">
        <is>
          <t>단독</t>
        </is>
      </c>
      <c r="F17" s="5" t="inlineStr">
        <is>
          <t>표03·15</t>
        </is>
      </c>
    </row>
    <row r="18" ht="42" customHeight="1">
      <c r="A18" s="20" t="inlineStr">
        <is>
          <t>현재일관련사항_11차산업대분류코드</t>
        </is>
      </c>
      <c r="B18" s="5" t="inlineStr">
        <is>
          <t>C</t>
        </is>
      </c>
      <c r="C18" s="5" t="inlineStr">
        <is>
          <t>제조업</t>
        </is>
      </c>
      <c r="D18" s="5" t="inlineStr">
        <is>
          <t>제조업, 공장, 생산직</t>
        </is>
      </c>
      <c r="E18" s="5" t="inlineStr">
        <is>
          <t>단독</t>
        </is>
      </c>
      <c r="F18" s="5" t="inlineStr">
        <is>
          <t>표03·15</t>
        </is>
      </c>
    </row>
    <row r="19" ht="42" customHeight="1">
      <c r="A19" s="20" t="inlineStr">
        <is>
          <t>현재일관련사항_11차산업대분류코드</t>
        </is>
      </c>
      <c r="B19" s="5" t="inlineStr">
        <is>
          <t>F</t>
        </is>
      </c>
      <c r="C19" s="5" t="inlineStr">
        <is>
          <t>건설업</t>
        </is>
      </c>
      <c r="D19" s="5" t="inlineStr">
        <is>
          <t>건설업, 건설, 건축</t>
        </is>
      </c>
      <c r="E19" s="5" t="inlineStr">
        <is>
          <t>단독</t>
        </is>
      </c>
      <c r="F19" s="5" t="inlineStr">
        <is>
          <t>표03·15</t>
        </is>
      </c>
    </row>
    <row r="20" ht="42" customHeight="1">
      <c r="A20" s="20" t="inlineStr">
        <is>
          <t>현재일관련사항_11차산업대분류코드</t>
        </is>
      </c>
      <c r="B20" s="5" t="inlineStr">
        <is>
          <t>G</t>
        </is>
      </c>
      <c r="C20" s="5" t="inlineStr">
        <is>
          <t>도매·소매업</t>
        </is>
      </c>
      <c r="D20" s="5" t="inlineStr">
        <is>
          <t>도소매, 유통, 판매업, 마트</t>
        </is>
      </c>
      <c r="E20" s="5" t="inlineStr">
        <is>
          <t>단독</t>
        </is>
      </c>
      <c r="F20" s="5" t="inlineStr">
        <is>
          <t>표03·15</t>
        </is>
      </c>
    </row>
    <row r="21" ht="42" customHeight="1">
      <c r="A21" s="20" t="inlineStr">
        <is>
          <t>현재일관련사항_11차산업대분류코드</t>
        </is>
      </c>
      <c r="B21" s="5" t="inlineStr">
        <is>
          <t>I</t>
        </is>
      </c>
      <c r="C21" s="5" t="inlineStr">
        <is>
          <t>숙박·음식점업</t>
        </is>
      </c>
      <c r="D21" s="5" t="inlineStr">
        <is>
          <t>숙박, 음식점, 식당, 카페, F&amp;B</t>
        </is>
      </c>
      <c r="E21" s="5" t="inlineStr">
        <is>
          <t>단독</t>
        </is>
      </c>
      <c r="F21" s="5" t="inlineStr">
        <is>
          <t>표03·15</t>
        </is>
      </c>
    </row>
    <row r="22" ht="42" customHeight="1">
      <c r="A22" s="20" t="inlineStr">
        <is>
          <t>현재일관련사항_11차산업대분류코드</t>
        </is>
      </c>
      <c r="B22" s="5" t="inlineStr">
        <is>
          <t>J</t>
        </is>
      </c>
      <c r="C22" s="5" t="inlineStr">
        <is>
          <t>정보통신업</t>
        </is>
      </c>
      <c r="D22" s="5" t="inlineStr">
        <is>
          <t>IT, 정보통신, SW, 개발자, 테크</t>
        </is>
      </c>
      <c r="E22" s="5" t="inlineStr">
        <is>
          <t>단독</t>
        </is>
      </c>
      <c r="F22" s="5" t="inlineStr">
        <is>
          <t>표03·15</t>
        </is>
      </c>
    </row>
    <row r="23" ht="42" customHeight="1">
      <c r="A23" s="20" t="inlineStr">
        <is>
          <t>현재일관련사항_11차산업대분류코드</t>
        </is>
      </c>
      <c r="B23" s="5" t="inlineStr">
        <is>
          <t>K</t>
        </is>
      </c>
      <c r="C23" s="5" t="inlineStr">
        <is>
          <t>금융·보험업</t>
        </is>
      </c>
      <c r="D23" s="5" t="inlineStr">
        <is>
          <t>금융, 은행, 보험, 증권</t>
        </is>
      </c>
      <c r="E23" s="5" t="inlineStr">
        <is>
          <t>단독</t>
        </is>
      </c>
      <c r="F23" s="5" t="inlineStr">
        <is>
          <t>표03·15</t>
        </is>
      </c>
    </row>
    <row r="24" ht="42" customHeight="1">
      <c r="A24" s="20" t="inlineStr">
        <is>
          <t>현재일관련사항_11차산업대분류코드</t>
        </is>
      </c>
      <c r="B24" s="5" t="inlineStr">
        <is>
          <t>M</t>
        </is>
      </c>
      <c r="C24" s="5" t="inlineStr">
        <is>
          <t>전문·과학·기술</t>
        </is>
      </c>
      <c r="D24" s="5" t="inlineStr">
        <is>
          <t>전문직, 컨설팅, 연구개발, R&amp;D</t>
        </is>
      </c>
      <c r="E24" s="5" t="inlineStr">
        <is>
          <t>단독</t>
        </is>
      </c>
      <c r="F24" s="5" t="inlineStr">
        <is>
          <t>표03·15</t>
        </is>
      </c>
    </row>
    <row r="25" ht="42" customHeight="1">
      <c r="A25" s="20" t="inlineStr">
        <is>
          <t>현재일관련사항_11차산업대분류코드</t>
        </is>
      </c>
      <c r="B25" s="5" t="inlineStr">
        <is>
          <t>O</t>
        </is>
      </c>
      <c r="C25" s="5" t="inlineStr">
        <is>
          <t>공공행정·국방</t>
        </is>
      </c>
      <c r="D25" s="5" t="inlineStr">
        <is>
          <t>공공기관, 공무원, 국방, 행정</t>
        </is>
      </c>
      <c r="E25" s="5" t="inlineStr">
        <is>
          <t>단독</t>
        </is>
      </c>
      <c r="F25" s="5" t="inlineStr">
        <is>
          <t>표03·15</t>
        </is>
      </c>
    </row>
    <row r="26" ht="42" customHeight="1">
      <c r="A26" s="20" t="inlineStr">
        <is>
          <t>현재일관련사항_11차산업대분류코드</t>
        </is>
      </c>
      <c r="B26" s="5" t="inlineStr">
        <is>
          <t>P</t>
        </is>
      </c>
      <c r="C26" s="5" t="inlineStr">
        <is>
          <t>교육서비스업</t>
        </is>
      </c>
      <c r="D26" s="5" t="inlineStr">
        <is>
          <t>교육, 학원, 학교, 선생님</t>
        </is>
      </c>
      <c r="E26" s="5" t="inlineStr">
        <is>
          <t>단독</t>
        </is>
      </c>
      <c r="F26" s="5" t="inlineStr">
        <is>
          <t>표03·15</t>
        </is>
      </c>
    </row>
    <row r="27" ht="42" customHeight="1">
      <c r="A27" s="20" t="inlineStr">
        <is>
          <t>현재일관련사항_11차산업대분류코드</t>
        </is>
      </c>
      <c r="B27" s="5" t="inlineStr">
        <is>
          <t>Q</t>
        </is>
      </c>
      <c r="C27" s="5" t="inlineStr">
        <is>
          <t>보건·사회복지</t>
        </is>
      </c>
      <c r="D27" s="5" t="inlineStr">
        <is>
          <t>보건, 의료, 간호, 복지, 병원</t>
        </is>
      </c>
      <c r="E27" s="5" t="inlineStr">
        <is>
          <t>단독</t>
        </is>
      </c>
      <c r="F27" s="5" t="inlineStr">
        <is>
          <t>표03·15</t>
        </is>
      </c>
    </row>
    <row r="28" ht="42" customHeight="1">
      <c r="A28" s="20" t="inlineStr">
        <is>
          <t>현재일관련사항_11차산업대분류코드</t>
        </is>
      </c>
      <c r="B28" s="5" t="inlineStr">
        <is>
          <t>B,D,E,L,T,U</t>
        </is>
      </c>
      <c r="C28" s="5" t="inlineStr">
        <is>
          <t>기타(통합)</t>
        </is>
      </c>
      <c r="D28" s="5" t="inlineStr">
        <is>
          <t>기타산업</t>
        </is>
      </c>
      <c r="E28" s="5" t="inlineStr">
        <is>
          <t>기타 통합</t>
        </is>
      </c>
      <c r="F28" s="5" t="inlineStr">
        <is>
          <t>표03</t>
        </is>
      </c>
    </row>
    <row r="29" ht="42" customHeight="1">
      <c r="A29" s="19" t="inlineStr">
        <is>
          <t>현재일관련사항_8차직업대분류코드</t>
        </is>
      </c>
      <c r="B29" s="5" t="inlineStr">
        <is>
          <t>1+2</t>
        </is>
      </c>
      <c r="C29" s="5" t="inlineStr">
        <is>
          <t>관리자·전문가 (통합)</t>
        </is>
      </c>
      <c r="D29" s="5" t="inlineStr">
        <is>
          <t>관리자, 전문가, 의사, 변호사, 교수</t>
        </is>
      </c>
      <c r="E29" s="21" t="inlineStr">
        <is>
          <t>코드1+2 합산 → KOSIS 1항목</t>
        </is>
      </c>
      <c r="F29" s="5" t="inlineStr">
        <is>
          <t>표04·16</t>
        </is>
      </c>
    </row>
    <row r="30" ht="42" customHeight="1">
      <c r="A30" s="20" t="inlineStr">
        <is>
          <t>현재일관련사항_8차직업대분류코드</t>
        </is>
      </c>
      <c r="B30" s="5" t="inlineStr">
        <is>
          <t>3</t>
        </is>
      </c>
      <c r="C30" s="5" t="inlineStr">
        <is>
          <t>사무 종사자</t>
        </is>
      </c>
      <c r="D30" s="5" t="inlineStr">
        <is>
          <t>사무직, 사무원, 행정직, 경리</t>
        </is>
      </c>
      <c r="E30" s="5" t="inlineStr">
        <is>
          <t>단독</t>
        </is>
      </c>
      <c r="F30" s="5" t="inlineStr">
        <is>
          <t>표04·16</t>
        </is>
      </c>
    </row>
    <row r="31" ht="42" customHeight="1">
      <c r="A31" s="20" t="inlineStr">
        <is>
          <t>현재일관련사항_8차직업대분류코드</t>
        </is>
      </c>
      <c r="B31" s="5" t="inlineStr">
        <is>
          <t>4</t>
        </is>
      </c>
      <c r="C31" s="5" t="inlineStr">
        <is>
          <t>서비스 종사자</t>
        </is>
      </c>
      <c r="D31" s="5" t="inlineStr">
        <is>
          <t>서비스직, 서비스업종사</t>
        </is>
      </c>
      <c r="E31" s="5" t="inlineStr">
        <is>
          <t>단독</t>
        </is>
      </c>
      <c r="F31" s="5" t="inlineStr">
        <is>
          <t>표04·16</t>
        </is>
      </c>
    </row>
    <row r="32" ht="42" customHeight="1">
      <c r="A32" s="20" t="inlineStr">
        <is>
          <t>현재일관련사항_8차직업대분류코드</t>
        </is>
      </c>
      <c r="B32" s="5" t="inlineStr">
        <is>
          <t>5</t>
        </is>
      </c>
      <c r="C32" s="5" t="inlineStr">
        <is>
          <t>판매 종사자</t>
        </is>
      </c>
      <c r="D32" s="5" t="inlineStr">
        <is>
          <t>판매직, 영업직, 세일즈</t>
        </is>
      </c>
      <c r="E32" s="5" t="inlineStr">
        <is>
          <t>단독</t>
        </is>
      </c>
      <c r="F32" s="5" t="inlineStr">
        <is>
          <t>표04·16</t>
        </is>
      </c>
    </row>
    <row r="33" ht="42" customHeight="1">
      <c r="A33" s="20" t="inlineStr">
        <is>
          <t>현재일관련사항_8차직업대분류코드</t>
        </is>
      </c>
      <c r="B33" s="5" t="inlineStr">
        <is>
          <t>7</t>
        </is>
      </c>
      <c r="C33" s="5" t="inlineStr">
        <is>
          <t>기능원·관련기능</t>
        </is>
      </c>
      <c r="D33" s="5" t="inlineStr">
        <is>
          <t>기능원, 기술자, 기계수리</t>
        </is>
      </c>
      <c r="E33" s="5" t="inlineStr">
        <is>
          <t>단독</t>
        </is>
      </c>
      <c r="F33" s="5" t="inlineStr">
        <is>
          <t>표04·16</t>
        </is>
      </c>
    </row>
    <row r="34" ht="42" customHeight="1">
      <c r="A34" s="20" t="inlineStr">
        <is>
          <t>현재일관련사항_8차직업대분류코드</t>
        </is>
      </c>
      <c r="B34" s="5" t="inlineStr">
        <is>
          <t>8</t>
        </is>
      </c>
      <c r="C34" s="5" t="inlineStr">
        <is>
          <t>장치·기계조작</t>
        </is>
      </c>
      <c r="D34" s="5" t="inlineStr">
        <is>
          <t>기계조작, 장치조작, 조립</t>
        </is>
      </c>
      <c r="E34" s="5" t="inlineStr">
        <is>
          <t>단독</t>
        </is>
      </c>
      <c r="F34" s="5" t="inlineStr">
        <is>
          <t>표04·16</t>
        </is>
      </c>
    </row>
    <row r="35" ht="42" customHeight="1">
      <c r="A35" s="20" t="inlineStr">
        <is>
          <t>현재일관련사항_8차직업대분류코드</t>
        </is>
      </c>
      <c r="B35" s="5" t="inlineStr">
        <is>
          <t>9</t>
        </is>
      </c>
      <c r="C35" s="5" t="inlineStr">
        <is>
          <t>단순노무</t>
        </is>
      </c>
      <c r="D35" s="5" t="inlineStr">
        <is>
          <t>단순노무, 단순직, 일용직비숙련</t>
        </is>
      </c>
      <c r="E35" s="5" t="inlineStr">
        <is>
          <t>단독</t>
        </is>
      </c>
      <c r="F35" s="5" t="inlineStr">
        <is>
          <t>표04·16</t>
        </is>
      </c>
    </row>
    <row r="36" ht="42" customHeight="1">
      <c r="A36" s="19" t="inlineStr">
        <is>
          <t>첫직장_취업당시고용형태코드</t>
        </is>
      </c>
      <c r="B36" s="5" t="inlineStr">
        <is>
          <t>1,2,3,4</t>
        </is>
      </c>
      <c r="C36" s="5" t="inlineStr">
        <is>
          <t>계약기간 정함 (기간제)</t>
        </is>
      </c>
      <c r="D36" s="5" t="inlineStr">
        <is>
          <t>기간제, 계약직, 기간제계약, 1년계약</t>
        </is>
      </c>
      <c r="E36" s="21" t="inlineStr">
        <is>
          <t>IN(1,2,3,4)=계약기간정함</t>
        </is>
      </c>
      <c r="F36" s="5" t="inlineStr">
        <is>
          <t>표17</t>
        </is>
      </c>
    </row>
    <row r="37" ht="42" customHeight="1">
      <c r="A37" s="20" t="inlineStr">
        <is>
          <t>첫직장_취업당시고용형태코드</t>
        </is>
      </c>
      <c r="B37" s="5" t="inlineStr">
        <is>
          <t>5</t>
        </is>
      </c>
      <c r="C37" s="5" t="inlineStr">
        <is>
          <t>계속근무 가능 (비기간제)</t>
        </is>
      </c>
      <c r="D37" s="5" t="inlineStr">
        <is>
          <t>무기계약, 정규직(비기간제), 계속근무</t>
        </is>
      </c>
      <c r="E37" s="5" t="inlineStr">
        <is>
          <t>단독</t>
        </is>
      </c>
      <c r="F37" s="5" t="inlineStr">
        <is>
          <t>표17</t>
        </is>
      </c>
    </row>
    <row r="38" ht="42" customHeight="1">
      <c r="A38" s="20" t="inlineStr">
        <is>
          <t>첫직장_취업당시고용형태코드</t>
        </is>
      </c>
      <c r="B38" s="5" t="inlineStr">
        <is>
          <t>6</t>
        </is>
      </c>
      <c r="C38" s="5" t="inlineStr">
        <is>
          <t>일시적 일자리</t>
        </is>
      </c>
      <c r="D38" s="5" t="inlineStr">
        <is>
          <t>일용, 일시직, 비정규불안정</t>
        </is>
      </c>
      <c r="E38" s="5" t="inlineStr">
        <is>
          <t>단독</t>
        </is>
      </c>
      <c r="F38" s="5" t="inlineStr">
        <is>
          <t>표17</t>
        </is>
      </c>
    </row>
    <row r="39" ht="42" customHeight="1">
      <c r="A39" s="20" t="inlineStr">
        <is>
          <t>첫직장_취업당시고용형태코드</t>
        </is>
      </c>
      <c r="B39" s="5" t="inlineStr">
        <is>
          <t>7,8</t>
        </is>
      </c>
      <c r="C39" s="5" t="inlineStr">
        <is>
          <t>자영업자</t>
        </is>
      </c>
      <c r="D39" s="5" t="inlineStr">
        <is>
          <t>자영업, 사장님, 창업</t>
        </is>
      </c>
      <c r="E39" s="21" t="inlineStr">
        <is>
          <t>IN(7,8)</t>
        </is>
      </c>
      <c r="F39" s="5" t="inlineStr">
        <is>
          <t>표17</t>
        </is>
      </c>
    </row>
    <row r="40" ht="42" customHeight="1">
      <c r="A40" s="19" t="inlineStr">
        <is>
          <t>첫직장_임금근로자_전일제시간제여부</t>
        </is>
      </c>
      <c r="B40" s="5" t="inlineStr">
        <is>
          <t>1</t>
        </is>
      </c>
      <c r="C40" s="5" t="inlineStr">
        <is>
          <t>전일제</t>
        </is>
      </c>
      <c r="D40" s="5" t="inlineStr">
        <is>
          <t>풀타임, 전일제, 정규시간</t>
        </is>
      </c>
      <c r="E40" s="5" t="inlineStr">
        <is>
          <t>단독</t>
        </is>
      </c>
      <c r="F40" s="5" t="inlineStr">
        <is>
          <t>표17</t>
        </is>
      </c>
    </row>
    <row r="41" ht="42" customHeight="1">
      <c r="A41" s="20" t="inlineStr">
        <is>
          <t>첫직장_임금근로자_전일제시간제여부</t>
        </is>
      </c>
      <c r="B41" s="5" t="inlineStr">
        <is>
          <t>2</t>
        </is>
      </c>
      <c r="C41" s="5" t="inlineStr">
        <is>
          <t>시간제</t>
        </is>
      </c>
      <c r="D41" s="5" t="inlineStr">
        <is>
          <t>시간제, 파트타임, 알바</t>
        </is>
      </c>
      <c r="E41" s="5" t="inlineStr">
        <is>
          <t>단독</t>
        </is>
      </c>
      <c r="F41" s="5" t="inlineStr">
        <is>
          <t>표17</t>
        </is>
      </c>
    </row>
    <row r="42" ht="42" customHeight="1">
      <c r="A42" s="19" t="inlineStr">
        <is>
          <t>첫직장_월평균급여액</t>
        </is>
      </c>
      <c r="B42" s="5" t="inlineStr">
        <is>
          <t>4</t>
        </is>
      </c>
      <c r="C42" s="5" t="inlineStr">
        <is>
          <t>150~200만원 미만</t>
        </is>
      </c>
      <c r="D42" s="5" t="inlineStr">
        <is>
          <t>150만원대, 150~200</t>
        </is>
      </c>
      <c r="E42" s="5" t="inlineStr">
        <is>
          <t>단독</t>
        </is>
      </c>
      <c r="F42" s="5" t="inlineStr">
        <is>
          <t>표18</t>
        </is>
      </c>
    </row>
    <row r="43" ht="42" customHeight="1">
      <c r="A43" s="20" t="inlineStr">
        <is>
          <t>첫직장_월평균급여액</t>
        </is>
      </c>
      <c r="B43" s="5" t="inlineStr">
        <is>
          <t>5</t>
        </is>
      </c>
      <c r="C43" s="5" t="inlineStr">
        <is>
          <t>200~300만원 미만</t>
        </is>
      </c>
      <c r="D43" s="5" t="inlineStr">
        <is>
          <t>200만원대, 200~300, 주요분포구간</t>
        </is>
      </c>
      <c r="E43" s="5" t="inlineStr">
        <is>
          <t>단독(1위)</t>
        </is>
      </c>
      <c r="F43" s="5" t="inlineStr">
        <is>
          <t>표18</t>
        </is>
      </c>
    </row>
    <row r="44" ht="42" customHeight="1">
      <c r="A44" s="20" t="inlineStr">
        <is>
          <t>첫직장_월평균급여액</t>
        </is>
      </c>
      <c r="B44" s="5" t="inlineStr">
        <is>
          <t>6,7,8</t>
        </is>
      </c>
      <c r="C44" s="5" t="inlineStr">
        <is>
          <t>300만원 이상 (통합)</t>
        </is>
      </c>
      <c r="D44" s="5" t="inlineStr">
        <is>
          <t>300만이상, 고임금, 고연봉</t>
        </is>
      </c>
      <c r="E44" s="21" t="inlineStr">
        <is>
          <t>IN(6,7,8) 합산</t>
        </is>
      </c>
      <c r="F44" s="5" t="inlineStr">
        <is>
          <t>표18</t>
        </is>
      </c>
    </row>
    <row r="45" ht="42" customHeight="1">
      <c r="A45" s="19" t="inlineStr">
        <is>
          <t>첫직장퇴직사유코드</t>
        </is>
      </c>
      <c r="B45" s="5" t="inlineStr">
        <is>
          <t>1</t>
        </is>
      </c>
      <c r="C45" s="5" t="inlineStr">
        <is>
          <t>근로여건 불만족</t>
        </is>
      </c>
      <c r="D45" s="5" t="inlineStr">
        <is>
          <t>근로조건불만, 월급적음, 야근, 직장불만</t>
        </is>
      </c>
      <c r="E45" s="5" t="inlineStr">
        <is>
          <t>단독(1위·46.4%)</t>
        </is>
      </c>
      <c r="F45" s="5" t="inlineStr">
        <is>
          <t>표19</t>
        </is>
      </c>
    </row>
    <row r="46" ht="42" customHeight="1">
      <c r="A46" s="20" t="inlineStr">
        <is>
          <t>첫직장퇴직사유코드</t>
        </is>
      </c>
      <c r="B46" s="5" t="inlineStr">
        <is>
          <t>4</t>
        </is>
      </c>
      <c r="C46" s="5" t="inlineStr">
        <is>
          <t>개인/가족 이유</t>
        </is>
      </c>
      <c r="D46" s="5" t="inlineStr">
        <is>
          <t>건강, 결혼, 출산, 가족이유, 육아</t>
        </is>
      </c>
      <c r="E46" s="5" t="inlineStr">
        <is>
          <t>단독</t>
        </is>
      </c>
      <c r="F46" s="5" t="inlineStr">
        <is>
          <t>표19</t>
        </is>
      </c>
    </row>
    <row r="47" ht="42" customHeight="1">
      <c r="A47" s="20" t="inlineStr">
        <is>
          <t>첫직장퇴직사유코드</t>
        </is>
      </c>
      <c r="B47" s="5" t="inlineStr">
        <is>
          <t>6,7</t>
        </is>
      </c>
      <c r="C47" s="5" t="inlineStr">
        <is>
          <t>계약기간 만료</t>
        </is>
      </c>
      <c r="D47" s="5" t="inlineStr">
        <is>
          <t>계약끝남, 기간만료, 임시직끝남</t>
        </is>
      </c>
      <c r="E47" s="21" t="inlineStr">
        <is>
          <t>IN(6,7)</t>
        </is>
      </c>
      <c r="F47" s="5" t="inlineStr">
        <is>
          <t>표19</t>
        </is>
      </c>
    </row>
    <row r="48" ht="42" customHeight="1">
      <c r="A48" s="20" t="inlineStr">
        <is>
          <t>첫직장퇴직사유코드</t>
        </is>
      </c>
      <c r="B48" s="5" t="inlineStr">
        <is>
          <t>9</t>
        </is>
      </c>
      <c r="C48" s="5" t="inlineStr">
        <is>
          <t>직장 휴업·폐업·파산</t>
        </is>
      </c>
      <c r="D48" s="5" t="inlineStr">
        <is>
          <t>폐업, 사업종료, 회사부도</t>
        </is>
      </c>
      <c r="E48" s="5" t="inlineStr">
        <is>
          <t>코드9만 (코드8 제외)</t>
        </is>
      </c>
      <c r="F48" s="5" t="inlineStr">
        <is>
          <t>표19</t>
        </is>
      </c>
    </row>
    <row r="49" ht="42" customHeight="1">
      <c r="A49" s="20" t="inlineStr">
        <is>
          <t>첫직장퇴직사유코드</t>
        </is>
      </c>
      <c r="B49" s="5" t="inlineStr">
        <is>
          <t>5,8,10</t>
        </is>
      </c>
      <c r="C49" s="5" t="inlineStr">
        <is>
          <t>그 외 (통합)</t>
        </is>
      </c>
      <c r="D49" s="5" t="inlineStr">
        <is>
          <t>권고사직, 정리해고, 기타</t>
        </is>
      </c>
      <c r="E49" s="21" t="inlineStr">
        <is>
          <t>IN(5,8,10) 코드8포함</t>
        </is>
      </c>
      <c r="F49" s="5" t="inlineStr">
        <is>
          <t>표19</t>
        </is>
      </c>
    </row>
    <row r="50" ht="42" customHeight="1">
      <c r="A50" s="19" t="inlineStr">
        <is>
          <t>최근직장_전공관련성코드</t>
        </is>
      </c>
      <c r="B50" s="5" t="inlineStr">
        <is>
          <t>1,2</t>
        </is>
      </c>
      <c r="C50" s="5" t="inlineStr">
        <is>
          <t>불일치 (통합)</t>
        </is>
      </c>
      <c r="D50" s="5" t="inlineStr">
        <is>
          <t>전공불일치, 미스매치, 전공안살림</t>
        </is>
      </c>
      <c r="E50" s="21" t="inlineStr">
        <is>
          <t>IN(1,2)=불일치소계</t>
        </is>
      </c>
      <c r="F50" s="5" t="inlineStr">
        <is>
          <t>표21</t>
        </is>
      </c>
    </row>
    <row r="51" ht="42" customHeight="1">
      <c r="A51" s="20" t="inlineStr">
        <is>
          <t>최근직장_전공관련성코드</t>
        </is>
      </c>
      <c r="B51" s="5" t="inlineStr">
        <is>
          <t>3,4</t>
        </is>
      </c>
      <c r="C51" s="5" t="inlineStr">
        <is>
          <t>일치 (통합)</t>
        </is>
      </c>
      <c r="D51" s="5" t="inlineStr">
        <is>
          <t>전공일치, 전공살림, 관련직종</t>
        </is>
      </c>
      <c r="E51" s="21" t="inlineStr">
        <is>
          <t>IN(3,4)=일치소계</t>
        </is>
      </c>
      <c r="F51" s="5" t="inlineStr">
        <is>
          <t>표21</t>
        </is>
      </c>
    </row>
    <row r="52" ht="42" customHeight="1">
      <c r="A52" s="19" t="inlineStr">
        <is>
          <t>미취업_퇴직후미취업기간구분코드</t>
        </is>
      </c>
      <c r="B52" s="5" t="inlineStr">
        <is>
          <t>1</t>
        </is>
      </c>
      <c r="C52" s="5" t="inlineStr">
        <is>
          <t>6개월 미만</t>
        </is>
      </c>
      <c r="D52" s="5" t="inlineStr">
        <is>
          <t>단기미취업, 6개월이내</t>
        </is>
      </c>
      <c r="E52" s="5" t="inlineStr">
        <is>
          <t>단독(1위·37.7%)</t>
        </is>
      </c>
      <c r="F52" s="5" t="inlineStr">
        <is>
          <t>표22</t>
        </is>
      </c>
    </row>
    <row r="53" ht="42" customHeight="1">
      <c r="A53" s="20" t="inlineStr">
        <is>
          <t>미취업_퇴직후미취업기간구분코드</t>
        </is>
      </c>
      <c r="B53" s="5" t="inlineStr">
        <is>
          <t>5</t>
        </is>
      </c>
      <c r="C53" s="5" t="inlineStr">
        <is>
          <t>3년 이상</t>
        </is>
      </c>
      <c r="D53" s="5" t="inlineStr">
        <is>
          <t>장기미취업, 3년이상백수, 만성미취업</t>
        </is>
      </c>
      <c r="E53" s="5" t="inlineStr">
        <is>
          <t>단독(19.0%)</t>
        </is>
      </c>
      <c r="F53" s="5" t="inlineStr">
        <is>
          <t>표22</t>
        </is>
      </c>
    </row>
    <row r="54" ht="42" customHeight="1">
      <c r="A54" s="19" t="inlineStr">
        <is>
          <t>미취업_주요활동상태코드</t>
        </is>
      </c>
      <c r="B54" s="5" t="inlineStr">
        <is>
          <t>2</t>
        </is>
      </c>
      <c r="C54" s="5" t="inlineStr">
        <is>
          <t>취업시험 준비</t>
        </is>
      </c>
      <c r="D54" s="5" t="inlineStr">
        <is>
          <t>취준, 공시, 취업공부, 시험준비중</t>
        </is>
      </c>
      <c r="E54" s="5" t="inlineStr">
        <is>
          <t>단독(1위·35.6%)</t>
        </is>
      </c>
      <c r="F54" s="5" t="inlineStr">
        <is>
          <t>표23</t>
        </is>
      </c>
    </row>
    <row r="55" ht="42" customHeight="1">
      <c r="A55" s="20" t="inlineStr">
        <is>
          <t>미취업_주요활동상태코드</t>
        </is>
      </c>
      <c r="B55" s="5" t="inlineStr">
        <is>
          <t>3</t>
        </is>
      </c>
      <c r="C55" s="5" t="inlineStr">
        <is>
          <t>그냥 시간 보냄</t>
        </is>
      </c>
      <c r="D55" s="5" t="inlineStr">
        <is>
          <t>쉬었음, 그냥쉬는, 아무것도안함, 니트</t>
        </is>
      </c>
      <c r="E55" s="5" t="inlineStr">
        <is>
          <t>단독(2위·25.1%)</t>
        </is>
      </c>
      <c r="F55" s="5" t="inlineStr">
        <is>
          <t>표23</t>
        </is>
      </c>
    </row>
    <row r="56" ht="42" customHeight="1">
      <c r="A56" s="20" t="inlineStr">
        <is>
          <t>미취업_주요활동상태코드</t>
        </is>
      </c>
      <c r="B56" s="5" t="inlineStr">
        <is>
          <t>7</t>
        </is>
      </c>
      <c r="C56" s="5" t="inlineStr">
        <is>
          <t>진학 준비</t>
        </is>
      </c>
      <c r="D56" s="5" t="inlineStr">
        <is>
          <t>진학준비, 대학원준비, 다시공부</t>
        </is>
      </c>
      <c r="E56" s="5" t="inlineStr">
        <is>
          <t>2024.5~신설</t>
        </is>
      </c>
      <c r="F56" s="5" t="inlineStr">
        <is>
          <t>표23</t>
        </is>
      </c>
    </row>
    <row r="57" ht="42" customHeight="1">
      <c r="A57" s="19" t="inlineStr">
        <is>
          <t>최근직장_취업경로코드</t>
        </is>
      </c>
      <c r="B57" s="5" t="inlineStr">
        <is>
          <t>01</t>
        </is>
      </c>
      <c r="C57" s="5" t="inlineStr">
        <is>
          <t>공개 채용시험</t>
        </is>
      </c>
      <c r="D57" s="5" t="inlineStr">
        <is>
          <t>공채, 공개채용, 기업시험</t>
        </is>
      </c>
      <c r="E57" s="5" t="inlineStr">
        <is>
          <t>단독(2위·23.1%)</t>
        </is>
      </c>
      <c r="F57" s="5" t="inlineStr">
        <is>
          <t>표12</t>
        </is>
      </c>
    </row>
    <row r="58" ht="42" customHeight="1">
      <c r="A58" s="20" t="inlineStr">
        <is>
          <t>최근직장_취업경로코드</t>
        </is>
      </c>
      <c r="B58" s="5" t="inlineStr">
        <is>
          <t>03</t>
        </is>
      </c>
      <c r="C58" s="5" t="inlineStr">
        <is>
          <t>신문·인터넷 응모</t>
        </is>
      </c>
      <c r="D58" s="5" t="inlineStr">
        <is>
          <t>인터넷응모, 채용사이트, 잡코리아, 사람인</t>
        </is>
      </c>
      <c r="E58" s="5" t="inlineStr">
        <is>
          <t>단독(1위·30.8%)</t>
        </is>
      </c>
      <c r="F58" s="5" t="inlineStr">
        <is>
          <t>표12</t>
        </is>
      </c>
    </row>
    <row r="59" ht="42" customHeight="1">
      <c r="A59" s="20" t="inlineStr">
        <is>
          <t>최근직장_취업경로코드</t>
        </is>
      </c>
      <c r="B59" s="5" t="inlineStr">
        <is>
          <t>05</t>
        </is>
      </c>
      <c r="C59" s="5" t="inlineStr">
        <is>
          <t>가족·친지 소개</t>
        </is>
      </c>
      <c r="D59" s="5" t="inlineStr">
        <is>
          <t>지인소개, 부모님소개, 연줄</t>
        </is>
      </c>
      <c r="E59" s="5" t="inlineStr">
        <is>
          <t>단독</t>
        </is>
      </c>
      <c r="F59" s="5" t="inlineStr">
        <is>
          <t>표12</t>
        </is>
      </c>
    </row>
    <row r="60" ht="42" customHeight="1">
      <c r="A60" s="20" t="inlineStr">
        <is>
          <t>최근직장_취업경로코드</t>
        </is>
      </c>
      <c r="B60" s="5" t="inlineStr">
        <is>
          <t>07,08,09,10,11</t>
        </is>
      </c>
      <c r="C60" s="5" t="inlineStr">
        <is>
          <t>그 외 (통합)</t>
        </is>
      </c>
      <c r="D60" s="5" t="inlineStr">
        <is>
          <t>취업소개소, 기타경로</t>
        </is>
      </c>
      <c r="E60" s="21" t="inlineStr">
        <is>
          <t>IN(7~11) 통합</t>
        </is>
      </c>
      <c r="F60" s="5" t="inlineStr">
        <is>
          <t>표12</t>
        </is>
      </c>
    </row>
    <row r="61" ht="42" customHeight="1">
      <c r="A61" s="19" t="inlineStr">
        <is>
          <t>직업교육및직장체험_직장체험주요형태코드</t>
        </is>
      </c>
      <c r="B61" s="5" t="inlineStr">
        <is>
          <t>2</t>
        </is>
      </c>
      <c r="C61" s="5" t="inlineStr">
        <is>
          <t>시간제 취업</t>
        </is>
      </c>
      <c r="D61" s="5" t="inlineStr">
        <is>
          <t>알바, 아르바이트, 파트타임체험</t>
        </is>
      </c>
      <c r="E61" s="5" t="inlineStr">
        <is>
          <t>단독(1위·75.0%)</t>
        </is>
      </c>
      <c r="F61" s="5" t="inlineStr">
        <is>
          <t>표08</t>
        </is>
      </c>
    </row>
    <row r="62" ht="42" customHeight="1">
      <c r="A62" s="20" t="inlineStr">
        <is>
          <t>직업교육및직장체험_직장체험주요형태코드</t>
        </is>
      </c>
      <c r="B62" s="5" t="inlineStr">
        <is>
          <t>3</t>
        </is>
      </c>
      <c r="C62" s="5" t="inlineStr">
        <is>
          <t>기업 인턴</t>
        </is>
      </c>
      <c r="D62" s="5" t="inlineStr">
        <is>
          <t>인턴, 기업인턴십</t>
        </is>
      </c>
      <c r="E62" s="5" t="inlineStr">
        <is>
          <t>단독</t>
        </is>
      </c>
      <c r="F62" s="5" t="inlineStr">
        <is>
          <t>표08</t>
        </is>
      </c>
    </row>
    <row r="63" ht="42" customHeight="1">
      <c r="A63" s="20" t="inlineStr">
        <is>
          <t>직업교육및직장체험_직장체험주요형태코드</t>
        </is>
      </c>
      <c r="B63" s="5" t="inlineStr">
        <is>
          <t>4</t>
        </is>
      </c>
      <c r="C63" s="5" t="inlineStr">
        <is>
          <t>학교 현장실습</t>
        </is>
      </c>
      <c r="D63" s="5" t="inlineStr">
        <is>
          <t>현장실습, 학교실습</t>
        </is>
      </c>
      <c r="E63" s="5" t="inlineStr">
        <is>
          <t>단독</t>
        </is>
      </c>
      <c r="F63" s="5" t="inlineStr">
        <is>
          <t>표08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18" customWidth="1" min="4" max="4"/>
    <col width="28" customWidth="1" min="5" max="5"/>
  </cols>
  <sheetData>
    <row r="1" ht="28" customHeight="1">
      <c r="A1" s="1" t="inlineStr">
        <is>
          <t>연령 그룹 정의 &amp; 표별 분모(분석대상) 빠른 참조</t>
        </is>
      </c>
    </row>
    <row r="2" ht="18" customHeight="1">
      <c r="A2" s="22" t="inlineStr">
        <is>
          <t>▶ 연령 그룹 정의 (만연령 기준)</t>
        </is>
      </c>
    </row>
    <row r="3">
      <c r="A3" s="2" t="inlineStr">
        <is>
          <t>연령그룹</t>
        </is>
      </c>
      <c r="B3" s="2" t="inlineStr">
        <is>
          <t>조건</t>
        </is>
      </c>
      <c r="C3" s="2" t="inlineStr">
        <is>
          <t>자연어 표현</t>
        </is>
      </c>
      <c r="D3" s="2" t="inlineStr">
        <is>
          <t>규모(2025.5)</t>
        </is>
      </c>
      <c r="E3" s="2" t="inlineStr">
        <is>
          <t>비고</t>
        </is>
      </c>
    </row>
    <row r="4" ht="22" customHeight="1">
      <c r="A4" s="5" t="inlineStr">
        <is>
          <t>15~29세</t>
        </is>
      </c>
      <c r="B4" s="5" t="inlineStr">
        <is>
          <t>만연령 &gt;= 15 AND &lt;= 29</t>
        </is>
      </c>
      <c r="C4" s="5" t="inlineStr">
        <is>
          <t>청년층, 청년, 청년층전체</t>
        </is>
      </c>
      <c r="D4" s="13" t="inlineStr">
        <is>
          <t>7,974천명</t>
        </is>
      </c>
      <c r="E4" s="5" t="inlineStr">
        <is>
          <t>청년층 기본 범위</t>
        </is>
      </c>
    </row>
    <row r="5" ht="22" customHeight="1">
      <c r="A5" s="5" t="inlineStr">
        <is>
          <t>15~19세</t>
        </is>
      </c>
      <c r="B5" s="5" t="inlineStr">
        <is>
          <t>만연령 &gt;= 15 AND &lt;= 19</t>
        </is>
      </c>
      <c r="C5" s="5" t="inlineStr">
        <is>
          <t>15~19세, 십대청소년</t>
        </is>
      </c>
      <c r="D5" s="13" t="inlineStr">
        <is>
          <t>2,233천명</t>
        </is>
      </c>
      <c r="E5" s="5" t="inlineStr">
        <is>
          <t>주로 재학 연령</t>
        </is>
      </c>
    </row>
    <row r="6" ht="22" customHeight="1">
      <c r="A6" s="5" t="inlineStr">
        <is>
          <t>20~24세</t>
        </is>
      </c>
      <c r="B6" s="5" t="inlineStr">
        <is>
          <t>만연령 &gt;= 20 AND &lt;= 24</t>
        </is>
      </c>
      <c r="C6" s="5" t="inlineStr">
        <is>
          <t>20~24세, 이십대초반, 대학생연령</t>
        </is>
      </c>
      <c r="D6" s="13" t="inlineStr">
        <is>
          <t>2,357천명</t>
        </is>
      </c>
      <c r="E6" s="5" t="inlineStr">
        <is>
          <t>재학·졸업 혼재</t>
        </is>
      </c>
    </row>
    <row r="7" ht="22" customHeight="1">
      <c r="A7" s="5" t="inlineStr">
        <is>
          <t>25~29세</t>
        </is>
      </c>
      <c r="B7" s="5" t="inlineStr">
        <is>
          <t>만연령 &gt;= 25 AND &lt;= 29</t>
        </is>
      </c>
      <c r="C7" s="5" t="inlineStr">
        <is>
          <t>25~29세, 이십대후반, 취업연령</t>
        </is>
      </c>
      <c r="D7" s="13" t="inlineStr">
        <is>
          <t>3,384천명</t>
        </is>
      </c>
      <c r="E7" s="5" t="inlineStr">
        <is>
          <t>노동시장 본격진입</t>
        </is>
      </c>
    </row>
    <row r="8" ht="22" customHeight="1">
      <c r="A8" s="5" t="inlineStr">
        <is>
          <t>20~34세</t>
        </is>
      </c>
      <c r="B8" s="5" t="inlineStr">
        <is>
          <t>만연령 &gt;= 20 AND &lt;= 34</t>
        </is>
      </c>
      <c r="C8" s="5" t="inlineStr">
        <is>
          <t>20~34세, 확장청년층</t>
        </is>
      </c>
      <c r="D8" s="13" t="inlineStr">
        <is>
          <t>9,337천명</t>
        </is>
      </c>
      <c r="E8" s="5" t="inlineStr">
        <is>
          <t>확장 청년층 범위</t>
        </is>
      </c>
    </row>
    <row r="10" ht="18" customHeight="1">
      <c r="A10" s="22" t="inlineStr">
        <is>
          <t>▶ 표별 분모(분석 대상) 정의</t>
        </is>
      </c>
    </row>
    <row r="11">
      <c r="A11" s="2" t="inlineStr">
        <is>
          <t>표번호</t>
        </is>
      </c>
      <c r="B11" s="2" t="inlineStr">
        <is>
          <t>분모 명칭</t>
        </is>
      </c>
      <c r="C11" s="2" t="inlineStr">
        <is>
          <t>필터 조건</t>
        </is>
      </c>
      <c r="D11" s="2" t="inlineStr">
        <is>
          <t>규모 (15~29세)</t>
        </is>
      </c>
      <c r="E11" s="2" t="inlineStr">
        <is>
          <t>주의</t>
        </is>
      </c>
    </row>
    <row r="12" ht="30" customHeight="1">
      <c r="A12" s="13" t="inlineStr">
        <is>
          <t>표01·02</t>
        </is>
      </c>
      <c r="B12" s="5" t="inlineStr">
        <is>
          <t>청년층 전체 인구</t>
        </is>
      </c>
      <c r="C12" s="5" t="inlineStr">
        <is>
          <t>해당 연령 범위</t>
        </is>
      </c>
      <c r="D12" s="13" t="inlineStr">
        <is>
          <t>7,974천명</t>
        </is>
      </c>
      <c r="E12" s="5" t="inlineStr">
        <is>
          <t>없음</t>
        </is>
      </c>
    </row>
    <row r="13" ht="30" customHeight="1">
      <c r="A13" s="13" t="inlineStr">
        <is>
          <t>표03·04</t>
        </is>
      </c>
      <c r="B13" s="5" t="inlineStr">
        <is>
          <t>졸업·중퇴 취업자</t>
        </is>
      </c>
      <c r="C13" s="5" t="inlineStr">
        <is>
          <t>수학구분 IN(1,3,5) + 경활=1 (표04는 IN(1,3))</t>
        </is>
      </c>
      <c r="D13" s="13" t="inlineStr">
        <is>
          <t>2,962천명</t>
        </is>
      </c>
      <c r="E13" s="5" t="inlineStr">
        <is>
          <t>표04만 수료제외</t>
        </is>
      </c>
    </row>
    <row r="14" ht="30" customHeight="1">
      <c r="A14" s="13" t="inlineStr">
        <is>
          <t>표05·06</t>
        </is>
      </c>
      <c r="B14" s="5" t="inlineStr">
        <is>
          <t>대졸자</t>
        </is>
      </c>
      <c r="C14" s="5" t="inlineStr">
        <is>
          <t>학력코드 IN(4,5) + 수학구분=1 + 졸업연월&gt;0</t>
        </is>
      </c>
      <c r="D14" s="13" t="inlineStr">
        <is>
          <t>별도집계</t>
        </is>
      </c>
      <c r="E14" s="5" t="inlineStr">
        <is>
          <t>대학원 제외</t>
        </is>
      </c>
    </row>
    <row r="15" ht="30" customHeight="1">
      <c r="A15" s="13" t="inlineStr">
        <is>
          <t>표07·09</t>
        </is>
      </c>
      <c r="B15" s="5" t="inlineStr">
        <is>
          <t>청년층 전체</t>
        </is>
      </c>
      <c r="C15" s="5" t="inlineStr">
        <is>
          <t>연령 조건만 (수학구분 무관)</t>
        </is>
      </c>
      <c r="D15" s="13" t="inlineStr">
        <is>
          <t>7,974천명</t>
        </is>
      </c>
      <c r="E15" s="5" t="inlineStr">
        <is>
          <t>재학생 포함</t>
        </is>
      </c>
    </row>
    <row r="16" ht="30" customHeight="1">
      <c r="A16" s="13" t="inlineStr">
        <is>
          <t>표08</t>
        </is>
      </c>
      <c r="B16" s="5" t="inlineStr">
        <is>
          <t>직장체험 경험자</t>
        </is>
      </c>
      <c r="C16" s="5" t="inlineStr">
        <is>
          <t>직장체험여부=1</t>
        </is>
      </c>
      <c r="D16" s="13" t="inlineStr">
        <is>
          <t>3,448천명</t>
        </is>
      </c>
      <c r="E16" s="5" t="inlineStr">
        <is>
          <t>전체와 분모 다름</t>
        </is>
      </c>
    </row>
    <row r="17" ht="30" customHeight="1">
      <c r="A17" s="13" t="inlineStr">
        <is>
          <t>표10</t>
        </is>
      </c>
      <c r="B17" s="5" t="inlineStr">
        <is>
          <t>직업훈련 유경험자</t>
        </is>
      </c>
      <c r="C17" s="5" t="inlineStr">
        <is>
          <t>수혜구분 IN(2,3,4)</t>
        </is>
      </c>
      <c r="D17" s="13" t="inlineStr">
        <is>
          <t>1,247천명</t>
        </is>
      </c>
      <c r="E17" s="5" t="inlineStr">
        <is>
          <t>기관코드 변수 미제공</t>
        </is>
      </c>
    </row>
    <row r="18" ht="30" customHeight="1">
      <c r="A18" s="13" t="inlineStr">
        <is>
          <t>표11</t>
        </is>
      </c>
      <c r="B18" s="5" t="inlineStr">
        <is>
          <t>졸업·중퇴 인구</t>
        </is>
      </c>
      <c r="C18" s="5" t="inlineStr">
        <is>
          <t>수학구분 IN(1,3,5) + 졸업연월&gt;0</t>
        </is>
      </c>
      <c r="D18" s="13" t="inlineStr">
        <is>
          <t>4,175천명</t>
        </is>
      </c>
      <c r="E18" s="5" t="inlineStr">
        <is>
          <t>수료 포함</t>
        </is>
      </c>
    </row>
    <row r="19" ht="30" customHeight="1">
      <c r="A19" s="13" t="inlineStr">
        <is>
          <t>표12~18·21</t>
        </is>
      </c>
      <c r="B19" s="5" t="inlineStr">
        <is>
          <t>졸업·중퇴 취업유경험자</t>
        </is>
      </c>
      <c r="C19" s="5" t="inlineStr">
        <is>
          <t>수학구분 IN(1,3,5) + 졸업연월&gt;0 + 취업횟수 IN(2~5)</t>
        </is>
      </c>
      <c r="D19" s="13" t="inlineStr">
        <is>
          <t>3,607천명</t>
        </is>
      </c>
      <c r="E19" s="5" t="inlineStr">
        <is>
          <t>핵심 분모</t>
        </is>
      </c>
    </row>
    <row r="20" ht="30" customHeight="1">
      <c r="A20" s="13" t="inlineStr">
        <is>
          <t>표19</t>
        </is>
      </c>
      <c r="B20" s="5" t="inlineStr">
        <is>
          <t>이직 경험자</t>
        </is>
      </c>
      <c r="C20" s="5" t="inlineStr">
        <is>
          <t>위 조건 + 첫직장이직연월&gt;0</t>
        </is>
      </c>
      <c r="D20" s="13" t="inlineStr">
        <is>
          <t>2,312천명</t>
        </is>
      </c>
      <c r="E20" s="5" t="inlineStr">
        <is>
          <t>재직자 제외</t>
        </is>
      </c>
    </row>
    <row r="21" ht="30" customHeight="1">
      <c r="A21" s="13" t="inlineStr">
        <is>
          <t>표20</t>
        </is>
      </c>
      <c r="B21" s="5" t="inlineStr">
        <is>
          <t>비경제활동인구</t>
        </is>
      </c>
      <c r="C21" s="5" t="inlineStr">
        <is>
          <t>경제활동상태코드=3</t>
        </is>
      </c>
      <c r="D21" s="13" t="inlineStr">
        <is>
          <t>4,030천명</t>
        </is>
      </c>
      <c r="E21" s="5" t="inlineStr">
        <is>
          <t>취업자·실업자 제외</t>
        </is>
      </c>
    </row>
    <row r="22" ht="30" customHeight="1">
      <c r="A22" s="13" t="inlineStr">
        <is>
          <t>표22·23</t>
        </is>
      </c>
      <c r="B22" s="5" t="inlineStr">
        <is>
          <t>미취업자</t>
        </is>
      </c>
      <c r="C22" s="5" t="inlineStr">
        <is>
          <t>미취업기간구분코드&gt;0</t>
        </is>
      </c>
      <c r="D22" s="13" t="inlineStr">
        <is>
          <t>1,212천명</t>
        </is>
      </c>
      <c r="E22" s="5" t="inlineStr">
        <is>
          <t>이 변수&gt;0으로 필터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2026-04-29T10:42:54Z</dcterms:created>
  <dcterms:modified xmlns:dcterms="http://purl.org/dc/terms/" xmlns:xsi="http://www.w3.org/2001/XMLSchema-instance" xsi:type="dcterms:W3CDTF">2026-04-29T10:42:55Z</dcterms:modified>
</cp:coreProperties>
</file>